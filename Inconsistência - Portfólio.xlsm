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EstaPasta_de_trabalho" checkCompatibility="1"/>
  <mc:AlternateContent xmlns:mc="http://schemas.openxmlformats.org/markup-compatibility/2006">
    <mc:Choice Requires="x15">
      <x15ac:absPath xmlns:x15ac="http://schemas.microsoft.com/office/spreadsheetml/2010/11/ac" url="C:\Users\sabrina.amaral\Desktop\Eu\VBA\"/>
    </mc:Choice>
  </mc:AlternateContent>
  <xr:revisionPtr revIDLastSave="0" documentId="13_ncr:1_{987CF76E-3D32-43FE-AD43-F5E050F92D0D}" xr6:coauthVersionLast="45" xr6:coauthVersionMax="45" xr10:uidLastSave="{00000000-0000-0000-0000-000000000000}"/>
  <bookViews>
    <workbookView xWindow="-120" yWindow="-120" windowWidth="20730" windowHeight="11160" tabRatio="889" xr2:uid="{00000000-000D-0000-FFFF-FFFF00000000}"/>
  </bookViews>
  <sheets>
    <sheet name="Leads em recebimento +03 dias" sheetId="43" r:id="rId1"/>
    <sheet name="Leads Atrasados {Atividades}" sheetId="41" r:id="rId2"/>
    <sheet name="Leads Parados {Sem atividades}" sheetId="23" r:id="rId3"/>
    <sheet name="Leads Sem Fonte" sheetId="45" r:id="rId4"/>
    <sheet name="Leads Sem Segmento" sheetId="44" r:id="rId5"/>
    <sheet name="Leads Sem Email" sheetId="49" state="hidden" r:id="rId6"/>
    <sheet name="Negócios Sem Portifólio" sheetId="51" r:id="rId7"/>
    <sheet name="Negócios Parados -Sem atividade" sheetId="1" r:id="rId8"/>
    <sheet name="Negócios Atrasados {Atividades}" sheetId="31" r:id="rId9"/>
    <sheet name="Negócios Sem Empresa" sheetId="47" r:id="rId10"/>
    <sheet name="Negócios Sem Fontes" sheetId="48" r:id="rId11"/>
    <sheet name="Negócios Sem contato" sheetId="7" r:id="rId12"/>
    <sheet name="Probabilidade e Fechamento" sheetId="42" r:id="rId13"/>
    <sheet name="Gráficos" sheetId="50" r:id="rId14"/>
  </sheets>
  <functionGroups builtInGroupCount="19"/>
  <definedNames>
    <definedName name="_xlnm._FilterDatabase" localSheetId="1" hidden="1">'Leads Atrasados {Atividades}'!$B$8:$H$8</definedName>
    <definedName name="_xlnm._FilterDatabase" localSheetId="0" hidden="1">'Leads em recebimento +03 dias'!$B$8:$H$8</definedName>
    <definedName name="_xlnm._FilterDatabase" localSheetId="2" hidden="1">'Leads Parados {Sem atividades}'!$B$8:$H$8</definedName>
    <definedName name="_xlnm._FilterDatabase" localSheetId="5" hidden="1">'Leads Sem Email'!$B$8:$I$61</definedName>
    <definedName name="_xlnm._FilterDatabase" localSheetId="3" hidden="1">'Leads Sem Fonte'!$B$8:$H$8</definedName>
    <definedName name="_xlnm._FilterDatabase" localSheetId="4" hidden="1">'Leads Sem Segmento'!$B$8:$H$8</definedName>
    <definedName name="_xlnm._FilterDatabase" localSheetId="8" hidden="1">'Negócios Atrasados {Atividades}'!$B$8:$K$8</definedName>
    <definedName name="_xlnm._FilterDatabase" localSheetId="7" hidden="1">'Negócios Parados -Sem atividade'!$B$8:$K$8</definedName>
    <definedName name="_xlnm._FilterDatabase" localSheetId="11" hidden="1">'Negócios Sem contato'!$B$8:$L$8</definedName>
    <definedName name="_xlnm._FilterDatabase" localSheetId="9" hidden="1">'Negócios Sem Empresa'!$B$8:$L$8</definedName>
    <definedName name="_xlnm._FilterDatabase" localSheetId="10" hidden="1">'Negócios Sem Fontes'!$B$8:$K$8</definedName>
    <definedName name="_xlnm._FilterDatabase" localSheetId="12" hidden="1">'Probabilidade e Fechamento'!$B$8:$S$8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" i="51" l="1"/>
  <c r="A2" i="50" l="1"/>
  <c r="A3" i="50"/>
  <c r="A4" i="50"/>
  <c r="A5" i="50" l="1"/>
</calcChain>
</file>

<file path=xl/sharedStrings.xml><?xml version="1.0" encoding="utf-8"?>
<sst xmlns="http://schemas.openxmlformats.org/spreadsheetml/2006/main" count="2314" uniqueCount="365">
  <si>
    <t>ID</t>
  </si>
  <si>
    <t>Nome do negócio</t>
  </si>
  <si>
    <t>Tipo</t>
  </si>
  <si>
    <t>Fase</t>
  </si>
  <si>
    <t>Contato</t>
  </si>
  <si>
    <t>Empresa</t>
  </si>
  <si>
    <t>Responsável</t>
  </si>
  <si>
    <t>Criado</t>
  </si>
  <si>
    <t>Fonte</t>
  </si>
  <si>
    <t>E-mail</t>
  </si>
  <si>
    <t>Segmento</t>
  </si>
  <si>
    <t>Probabilidade, %</t>
  </si>
  <si>
    <t>Data de fechamento</t>
  </si>
  <si>
    <t>Nome do Lead</t>
  </si>
  <si>
    <t>Status</t>
  </si>
  <si>
    <t>Ação:</t>
  </si>
  <si>
    <t>Período:</t>
  </si>
  <si>
    <t>Emissão:</t>
  </si>
  <si>
    <t>Feasibility 1 | É emergência?</t>
  </si>
  <si>
    <t>Feasibility 2 | Há budget?</t>
  </si>
  <si>
    <t>Feasibility 1 | É decisor?</t>
  </si>
  <si>
    <t>NEGÓCIOS PARADOS</t>
  </si>
  <si>
    <t>NEGÓCIOS ATRASADOS</t>
  </si>
  <si>
    <t>NEGÓCIOS SEM CONTATO</t>
  </si>
  <si>
    <t>LEADS PARADOS</t>
  </si>
  <si>
    <t>LEADS ATRASADOS</t>
  </si>
  <si>
    <t>LEADS SEM SEGMENTO</t>
  </si>
  <si>
    <t>LEADS HÁ + DE 03 DIAS EM RECEBIMENTO</t>
  </si>
  <si>
    <t>LEADS SEM FONTE</t>
  </si>
  <si>
    <t>Necessário inserir Segmento</t>
  </si>
  <si>
    <t>Necessário inserir a Fonte</t>
  </si>
  <si>
    <t>Necessário contatar o Lead para avançar o card</t>
  </si>
  <si>
    <t>NEGÓCIOS SEM EMPRESA</t>
  </si>
  <si>
    <t xml:space="preserve">Vincular empresa ao Negócio </t>
  </si>
  <si>
    <t xml:space="preserve">Vincular pessoa ao Negócio </t>
  </si>
  <si>
    <t>NEGÓCIOS SEM FONTE</t>
  </si>
  <si>
    <t>SEM PROBABILIDADE DE VENDA E DATA DE FECHAMENTO (SEM OU VENCIDA) NA FORECAST</t>
  </si>
  <si>
    <t>Atualizar probabilidade % do Negócio OU Data de Fechamento</t>
  </si>
  <si>
    <t>Feasibility 4 | É reativo?</t>
  </si>
  <si>
    <t>Feasibility 5 | Somos competitivos?</t>
  </si>
  <si>
    <t>Probabilidade de Ganho</t>
  </si>
  <si>
    <r>
      <t xml:space="preserve">Estão sem </t>
    </r>
    <r>
      <rPr>
        <b/>
        <sz val="12"/>
        <color rgb="FFFF0000"/>
        <rFont val="Calibri Light"/>
        <family val="2"/>
        <scheme val="major"/>
      </rPr>
      <t>atividade</t>
    </r>
    <r>
      <rPr>
        <sz val="12"/>
        <color theme="1"/>
        <rFont val="Calibri Light"/>
        <family val="2"/>
        <scheme val="major"/>
      </rPr>
      <t xml:space="preserve"> programada. Necessário verificar o real status para avançar no Pipeline ou programar </t>
    </r>
    <r>
      <rPr>
        <b/>
        <sz val="12"/>
        <color theme="1"/>
        <rFont val="Calibri Light"/>
        <family val="2"/>
        <scheme val="major"/>
      </rPr>
      <t>atividade</t>
    </r>
  </si>
  <si>
    <t>Necessário programar atividade,ou seja, as tarefas estão sem programação de próximos passos</t>
  </si>
  <si>
    <t>Data de Solicitação da Proposta</t>
  </si>
  <si>
    <r>
      <t xml:space="preserve">Necessário resolver os atrasos, ou seja, as </t>
    </r>
    <r>
      <rPr>
        <b/>
        <sz val="12"/>
        <color rgb="FFFF0000"/>
        <rFont val="Calibri Light"/>
        <family val="2"/>
        <scheme val="major"/>
      </rPr>
      <t>tarefas</t>
    </r>
    <r>
      <rPr>
        <b/>
        <sz val="12"/>
        <color theme="1"/>
        <rFont val="Calibri Light"/>
        <family val="2"/>
        <scheme val="major"/>
      </rPr>
      <t xml:space="preserve"> </t>
    </r>
    <r>
      <rPr>
        <sz val="12"/>
        <color theme="1"/>
        <rFont val="Calibri Light"/>
        <family val="2"/>
        <scheme val="major"/>
      </rPr>
      <t>estão atrasadas</t>
    </r>
  </si>
  <si>
    <t>LEADS SEM EMAIL</t>
  </si>
  <si>
    <t>Necessário inserir Email</t>
  </si>
  <si>
    <r>
      <t xml:space="preserve">Necessário resolver os atrasos, ou seja, as </t>
    </r>
    <r>
      <rPr>
        <b/>
        <sz val="12"/>
        <color rgb="FFFF0000"/>
        <rFont val="Calibri Light"/>
        <family val="2"/>
        <scheme val="major"/>
      </rPr>
      <t>atividades estão atrasadas</t>
    </r>
  </si>
  <si>
    <t>Formulário Site</t>
  </si>
  <si>
    <t>Telefone</t>
  </si>
  <si>
    <t>Prospecção Própria</t>
  </si>
  <si>
    <t>Saneamento Público</t>
  </si>
  <si>
    <t>Engenharia / Construção</t>
  </si>
  <si>
    <t>Portos e Hidrovias</t>
  </si>
  <si>
    <t>Alimentos / Bebidas</t>
  </si>
  <si>
    <t>Mineração</t>
  </si>
  <si>
    <t>Em Andamento</t>
  </si>
  <si>
    <t>Óleo e Gás</t>
  </si>
  <si>
    <t>Novos Negócios</t>
  </si>
  <si>
    <t>Prospect</t>
  </si>
  <si>
    <t>Negociação</t>
  </si>
  <si>
    <t>FUP</t>
  </si>
  <si>
    <t>Revisão</t>
  </si>
  <si>
    <t>Elaboração de Proposta</t>
  </si>
  <si>
    <t>Semana</t>
  </si>
  <si>
    <t>Leads em recebimento a mais de 3 dias</t>
  </si>
  <si>
    <t>Leads com atividades atrasadas</t>
  </si>
  <si>
    <t>Leads parados sem atividades</t>
  </si>
  <si>
    <t>Leads sem fonte</t>
  </si>
  <si>
    <t>Leads sem segmento</t>
  </si>
  <si>
    <t>Negócios parados sem atividades</t>
  </si>
  <si>
    <t>Negócios com atividades atrasadas</t>
  </si>
  <si>
    <t>Negócios sem empresa definida</t>
  </si>
  <si>
    <t>Negócios sem fonte definida</t>
  </si>
  <si>
    <t>Negócios sem contato definido</t>
  </si>
  <si>
    <t>Negócios sem probabilidade de ganho e/ou data de fechamento definida</t>
  </si>
  <si>
    <t>Cliente Existente</t>
  </si>
  <si>
    <t>Saneamento privado</t>
  </si>
  <si>
    <t>Vale_ - Parauapebas - Tratamento agua/resíduo do lavador de veículo de equipamentos pesados - SAO - Torre de Desidratação</t>
  </si>
  <si>
    <t>Vale_Usina de Conceição - Itabira - Serviços de Tratamento de Água Industrial</t>
  </si>
  <si>
    <t>Vale_Desassoreamento da Bacia do Barramento Metálico do Córrego Ferro Carvão</t>
  </si>
  <si>
    <t>Papel e Celulose</t>
  </si>
  <si>
    <t>Solicitação de Proposta</t>
  </si>
  <si>
    <t>Vale - 5000284588 - Recuperação de Área Degradada e Hidrossemeadura</t>
  </si>
  <si>
    <t>Recebimento</t>
  </si>
  <si>
    <t>Diversas</t>
  </si>
  <si>
    <t>WhatsApp</t>
  </si>
  <si>
    <t>Energia / Biodiesel</t>
  </si>
  <si>
    <t>SABESP - ESGOTO - ARUJA - ME-05664/19</t>
  </si>
  <si>
    <t>DNOCS - Adutora Piancó</t>
  </si>
  <si>
    <t>Cadastro em Suprimentos Marketing</t>
  </si>
  <si>
    <t>Águas de Mineiros - Dragagem de Lagoas Anaeróbias e Facultativas</t>
  </si>
  <si>
    <t>BU</t>
  </si>
  <si>
    <t>Necessário inserir Portfólio</t>
  </si>
  <si>
    <t>Nome do Negócio</t>
  </si>
  <si>
    <t>PORTFÓLIO | Remediação e Compensação</t>
  </si>
  <si>
    <t>PORTFÓLIO | Outros</t>
  </si>
  <si>
    <t>PORTFÓLIO | Gestão De Resíduos</t>
  </si>
  <si>
    <t>PORTFÓLIO | Infraestrutura</t>
  </si>
  <si>
    <t>PORTFÓLIO | Gestão De Água</t>
  </si>
  <si>
    <t>PORTFÓLIO | Desassoreamento E Dragagem</t>
  </si>
  <si>
    <t>Linha de Serviço</t>
  </si>
  <si>
    <t>Portfólio</t>
  </si>
  <si>
    <t>Vazio</t>
  </si>
  <si>
    <t>Infraestrutura</t>
  </si>
  <si>
    <t>CSP – Companhia Siderúrgica do Pecém - MELHORIA DO SISTEMA DE REFRIGERAÇÃO - 6100130702</t>
  </si>
  <si>
    <t>Projetos Estruturados</t>
  </si>
  <si>
    <t>Outbound</t>
  </si>
  <si>
    <t>Siderurgia e Metalurgia</t>
  </si>
  <si>
    <t>Envio de Proposta (Cliente)</t>
  </si>
  <si>
    <t>Fertilizantes</t>
  </si>
  <si>
    <t>Portos</t>
  </si>
  <si>
    <t>Alimentos e Bebidas</t>
  </si>
  <si>
    <t>Agronegócios</t>
  </si>
  <si>
    <t>Energia</t>
  </si>
  <si>
    <t>Química e Petroquímica</t>
  </si>
  <si>
    <t>Automotiva / Montagem</t>
  </si>
  <si>
    <t>DAE - Limpeza de manacial - Jundiaí/SP</t>
  </si>
  <si>
    <t>Meio Ambiente</t>
  </si>
  <si>
    <t>Sim</t>
  </si>
  <si>
    <t>Não</t>
  </si>
  <si>
    <t>EMAE Dragagem Emergencial da Area do Anfiteatro da Represa Pedreira</t>
  </si>
  <si>
    <t>Aditivo</t>
  </si>
  <si>
    <t>Agronegócio</t>
  </si>
  <si>
    <t>Copasa_Desidratação de Lodo de ETA por Torre - Patos de Minas</t>
  </si>
  <si>
    <t>Consultoria</t>
  </si>
  <si>
    <t>McCain - Eta Compacta</t>
  </si>
  <si>
    <t>acumulado até 02/07/2020 11:49:05</t>
  </si>
  <si>
    <t>acumulado até 02/07/2020 11:49:06</t>
  </si>
  <si>
    <t>Negócio 1</t>
  </si>
  <si>
    <t>Negócio 2</t>
  </si>
  <si>
    <t>Negócio 3</t>
  </si>
  <si>
    <t>Negócio 4</t>
  </si>
  <si>
    <t>Negócio 5</t>
  </si>
  <si>
    <t>Negócio 6</t>
  </si>
  <si>
    <t>Negócio 7</t>
  </si>
  <si>
    <t>Negócio 8</t>
  </si>
  <si>
    <t>Negócio 9</t>
  </si>
  <si>
    <t>Negócio 10</t>
  </si>
  <si>
    <t>Negócio 11</t>
  </si>
  <si>
    <t>Negócio 12</t>
  </si>
  <si>
    <t>Negócio 13</t>
  </si>
  <si>
    <t>Negócio 14</t>
  </si>
  <si>
    <t>Negócio 15</t>
  </si>
  <si>
    <t>Negócio 16</t>
  </si>
  <si>
    <t>Negócio 17</t>
  </si>
  <si>
    <t>Negócio 18</t>
  </si>
  <si>
    <t>Negócio 19</t>
  </si>
  <si>
    <t>Negócio 20</t>
  </si>
  <si>
    <t>Negócio 21</t>
  </si>
  <si>
    <t>Negócio 22</t>
  </si>
  <si>
    <t>Negócio 23</t>
  </si>
  <si>
    <t>Vendedor 1</t>
  </si>
  <si>
    <t>Vendedor 2</t>
  </si>
  <si>
    <t>Vendedor 3</t>
  </si>
  <si>
    <t>Vendedor 4</t>
  </si>
  <si>
    <t>Vendedor 5</t>
  </si>
  <si>
    <t>Vendedor 6</t>
  </si>
  <si>
    <t>Negócio 24</t>
  </si>
  <si>
    <t>Negócio 25</t>
  </si>
  <si>
    <t>Negócio 26</t>
  </si>
  <si>
    <t>Negócio 27</t>
  </si>
  <si>
    <t>Negócio 28</t>
  </si>
  <si>
    <t>Negócio 29</t>
  </si>
  <si>
    <t>Negócio 30</t>
  </si>
  <si>
    <t>Negócio 31</t>
  </si>
  <si>
    <t>Negócio 32</t>
  </si>
  <si>
    <t>Negócio 33</t>
  </si>
  <si>
    <t>Negócio 34</t>
  </si>
  <si>
    <t>Negócio 35</t>
  </si>
  <si>
    <t>Negócio 36</t>
  </si>
  <si>
    <t>Negócio 37</t>
  </si>
  <si>
    <t>Negócio 38</t>
  </si>
  <si>
    <t>Negócio 39</t>
  </si>
  <si>
    <t>Negócio 40</t>
  </si>
  <si>
    <t>Negócio 41</t>
  </si>
  <si>
    <t>Negócio 42</t>
  </si>
  <si>
    <t>Negócio 43</t>
  </si>
  <si>
    <t>Negócio 44</t>
  </si>
  <si>
    <t>Negócio 45</t>
  </si>
  <si>
    <t>Negócio 46</t>
  </si>
  <si>
    <t>Negócio 47</t>
  </si>
  <si>
    <t>Negócio 48</t>
  </si>
  <si>
    <t>Negócio 49</t>
  </si>
  <si>
    <t>Negócio 50</t>
  </si>
  <si>
    <t>Negócio 51</t>
  </si>
  <si>
    <t>Negócio 52</t>
  </si>
  <si>
    <t>Negócio 53</t>
  </si>
  <si>
    <t>Negócio 54</t>
  </si>
  <si>
    <t>Negócio 55</t>
  </si>
  <si>
    <t>Negócio 56</t>
  </si>
  <si>
    <t>Negócio 57</t>
  </si>
  <si>
    <t>Negócio 58</t>
  </si>
  <si>
    <t>Negócio 59</t>
  </si>
  <si>
    <t>Negócio 60</t>
  </si>
  <si>
    <t>Negócio 61</t>
  </si>
  <si>
    <t>Negócio 62</t>
  </si>
  <si>
    <t>Negócio 63</t>
  </si>
  <si>
    <t>Negócio 64</t>
  </si>
  <si>
    <t>Negócio 65</t>
  </si>
  <si>
    <t>Negócio 66</t>
  </si>
  <si>
    <t>Negócio 67</t>
  </si>
  <si>
    <t>Negócio 68</t>
  </si>
  <si>
    <t>Negócio 69</t>
  </si>
  <si>
    <t>Negócio 70</t>
  </si>
  <si>
    <t>Negócio 71</t>
  </si>
  <si>
    <t>Negócio 72</t>
  </si>
  <si>
    <t>Negócio 73</t>
  </si>
  <si>
    <t>Negócio 74</t>
  </si>
  <si>
    <t>Negócio 75</t>
  </si>
  <si>
    <t>Negócio 76</t>
  </si>
  <si>
    <t>Negócio 77</t>
  </si>
  <si>
    <t>Negócio 78</t>
  </si>
  <si>
    <t>Negócio 79</t>
  </si>
  <si>
    <t>Negócio 80</t>
  </si>
  <si>
    <t>Negócio 81</t>
  </si>
  <si>
    <t>Negócio 82</t>
  </si>
  <si>
    <t>Negócio 83</t>
  </si>
  <si>
    <t>Negócio 84</t>
  </si>
  <si>
    <t>Negócio 85</t>
  </si>
  <si>
    <t>Negócio 86</t>
  </si>
  <si>
    <t>Negócio 87</t>
  </si>
  <si>
    <t>Negócio 88</t>
  </si>
  <si>
    <t>Negócio 89</t>
  </si>
  <si>
    <t>Negócio 90</t>
  </si>
  <si>
    <t>Negócio 91</t>
  </si>
  <si>
    <t>Negócio 92</t>
  </si>
  <si>
    <t>Negócio 93</t>
  </si>
  <si>
    <t>Negócio 94</t>
  </si>
  <si>
    <t>Negócio 95</t>
  </si>
  <si>
    <t>Negócio 96</t>
  </si>
  <si>
    <t>Negócio 97</t>
  </si>
  <si>
    <t>Negócio 98</t>
  </si>
  <si>
    <t>Negócio 99</t>
  </si>
  <si>
    <t>Negócio 100</t>
  </si>
  <si>
    <t>Negócio 101</t>
  </si>
  <si>
    <t>Negócio 102</t>
  </si>
  <si>
    <t>Negócio 103</t>
  </si>
  <si>
    <t>Negócio 104</t>
  </si>
  <si>
    <t>Negócio 105</t>
  </si>
  <si>
    <t>Negócio 106</t>
  </si>
  <si>
    <t>Negócio 107</t>
  </si>
  <si>
    <t>Negócio 108</t>
  </si>
  <si>
    <t>Negócio 109</t>
  </si>
  <si>
    <t>Negócio 110</t>
  </si>
  <si>
    <t>Negócio 111</t>
  </si>
  <si>
    <t>Negócio 112</t>
  </si>
  <si>
    <t>Contato 1</t>
  </si>
  <si>
    <t>Empresa 1</t>
  </si>
  <si>
    <t>Empresa 2</t>
  </si>
  <si>
    <t>Contato 2</t>
  </si>
  <si>
    <t>Empresa 3</t>
  </si>
  <si>
    <t>Contato 3</t>
  </si>
  <si>
    <t>Empresa 4</t>
  </si>
  <si>
    <t>Contato 4</t>
  </si>
  <si>
    <t>Empresa 5</t>
  </si>
  <si>
    <t>Contato 5</t>
  </si>
  <si>
    <t>Empresa 6</t>
  </si>
  <si>
    <t>Contato 6</t>
  </si>
  <si>
    <t>Empresa 7</t>
  </si>
  <si>
    <t>Contato 7</t>
  </si>
  <si>
    <t>Empresa 8</t>
  </si>
  <si>
    <t>Contato 8</t>
  </si>
  <si>
    <t>Empresa 9</t>
  </si>
  <si>
    <t>Contato 9</t>
  </si>
  <si>
    <t>Empresa 10</t>
  </si>
  <si>
    <t>Contato 10</t>
  </si>
  <si>
    <t>Empresa 11</t>
  </si>
  <si>
    <t>Contato 11</t>
  </si>
  <si>
    <t>Empresa 12</t>
  </si>
  <si>
    <t>Contato 12</t>
  </si>
  <si>
    <t>Empresa 13</t>
  </si>
  <si>
    <t>Contato 13</t>
  </si>
  <si>
    <t>Empresa 14</t>
  </si>
  <si>
    <t>Contato 14</t>
  </si>
  <si>
    <t>Empresa 15</t>
  </si>
  <si>
    <t>Contato 15</t>
  </si>
  <si>
    <t>Empresa 16</t>
  </si>
  <si>
    <t>Contato 16</t>
  </si>
  <si>
    <t>Empresa 17</t>
  </si>
  <si>
    <t>Contato 17</t>
  </si>
  <si>
    <t>Empresa 18</t>
  </si>
  <si>
    <t>Contato 18</t>
  </si>
  <si>
    <t>Empresa 19</t>
  </si>
  <si>
    <t>Contato 19</t>
  </si>
  <si>
    <t>Empresa 20</t>
  </si>
  <si>
    <t>Contato 20</t>
  </si>
  <si>
    <t>Empresa 21</t>
  </si>
  <si>
    <t>Contato 21</t>
  </si>
  <si>
    <t>Empresa 22</t>
  </si>
  <si>
    <t>Contato 22</t>
  </si>
  <si>
    <t>Empresa 23</t>
  </si>
  <si>
    <t>Contato 23</t>
  </si>
  <si>
    <t>Empresa 24</t>
  </si>
  <si>
    <t>Contato 24</t>
  </si>
  <si>
    <t>Empresa 25</t>
  </si>
  <si>
    <t>Contato 25</t>
  </si>
  <si>
    <t>Empresa 26</t>
  </si>
  <si>
    <t>Contato 26</t>
  </si>
  <si>
    <t>Empresa 27</t>
  </si>
  <si>
    <t>Contato 27</t>
  </si>
  <si>
    <t>Empresa 28</t>
  </si>
  <si>
    <t>Contato 28</t>
  </si>
  <si>
    <t>Empresa 29</t>
  </si>
  <si>
    <t>Contato 29</t>
  </si>
  <si>
    <t>Empresa 30</t>
  </si>
  <si>
    <t>Contato 30</t>
  </si>
  <si>
    <t>Empresa 31</t>
  </si>
  <si>
    <t>Contato 31</t>
  </si>
  <si>
    <t>Empresa 32</t>
  </si>
  <si>
    <t>Contato 32</t>
  </si>
  <si>
    <t>Empresa 33</t>
  </si>
  <si>
    <t>Contato 33</t>
  </si>
  <si>
    <t>Empresa 34</t>
  </si>
  <si>
    <t>Contato 34</t>
  </si>
  <si>
    <t>Empresa 35</t>
  </si>
  <si>
    <t>Contato 35</t>
  </si>
  <si>
    <t>Empresa 36</t>
  </si>
  <si>
    <t>Contato 36</t>
  </si>
  <si>
    <t>Empresa 37</t>
  </si>
  <si>
    <t>Contato 37</t>
  </si>
  <si>
    <t>Empresa 38</t>
  </si>
  <si>
    <t>Contato 38</t>
  </si>
  <si>
    <t>Empresa 39</t>
  </si>
  <si>
    <t>Contato 39</t>
  </si>
  <si>
    <t>Empresa 40</t>
  </si>
  <si>
    <t>Contato 40</t>
  </si>
  <si>
    <t>Empresa 41</t>
  </si>
  <si>
    <t>Contato 41</t>
  </si>
  <si>
    <t>Empresa 42</t>
  </si>
  <si>
    <t>Contato 42</t>
  </si>
  <si>
    <t>Empresa 43</t>
  </si>
  <si>
    <t>Contato 43</t>
  </si>
  <si>
    <t>Empresa 44</t>
  </si>
  <si>
    <t>Contato 44</t>
  </si>
  <si>
    <t>Empresa 45</t>
  </si>
  <si>
    <t>Contato 45</t>
  </si>
  <si>
    <t>Empresa 46</t>
  </si>
  <si>
    <t>Contato 46</t>
  </si>
  <si>
    <t>Empresa 47</t>
  </si>
  <si>
    <t>Contato 47</t>
  </si>
  <si>
    <t>Empresa 48</t>
  </si>
  <si>
    <t>Contato 48</t>
  </si>
  <si>
    <t>Empresa 49</t>
  </si>
  <si>
    <t>Contato 49</t>
  </si>
  <si>
    <t>Empresa 50</t>
  </si>
  <si>
    <t>Contato 50</t>
  </si>
  <si>
    <t>Empresa 51</t>
  </si>
  <si>
    <t>Contato 51</t>
  </si>
  <si>
    <t>Empresa 52</t>
  </si>
  <si>
    <t>Contato 52</t>
  </si>
  <si>
    <t>Empresa 53</t>
  </si>
  <si>
    <t>Contato 53</t>
  </si>
  <si>
    <t>Empresa 54</t>
  </si>
  <si>
    <t>Contato 54</t>
  </si>
  <si>
    <t>Empresa 55</t>
  </si>
  <si>
    <t>Contato 55</t>
  </si>
  <si>
    <t>Empresa 56</t>
  </si>
  <si>
    <t>Contato 56</t>
  </si>
  <si>
    <t>Empresa 57</t>
  </si>
  <si>
    <t>Contato 57</t>
  </si>
  <si>
    <t>Empresa 58</t>
  </si>
  <si>
    <t>Contato 58</t>
  </si>
  <si>
    <t>Empresa 59</t>
  </si>
  <si>
    <t>Contato 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</si>
</sst>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\ h:mm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BDC71A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A5765"/>
        <bgColor indexed="64"/>
      </patternFill>
    </fill>
    <fill>
      <patternFill patternType="solid">
        <fgColor rgb="FFBDC71A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6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16" fillId="0" borderId="9" applyNumberFormat="0" applyFill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44" fontId="0" fillId="0" borderId="0" xfId="42" applyFont="1" applyAlignment="1">
      <alignment horizontal="center"/>
    </xf>
    <xf numFmtId="0" fontId="18" fillId="35" borderId="10" xfId="0" applyFont="1" applyFill="1" applyBorder="1" applyAlignment="1">
      <alignment horizontal="left" vertical="center"/>
    </xf>
    <xf numFmtId="0" fontId="22" fillId="0" borderId="10" xfId="0" applyFont="1" applyBorder="1" applyAlignment="1">
      <alignment horizontal="left"/>
    </xf>
    <xf numFmtId="22" fontId="22" fillId="0" borderId="10" xfId="0" applyNumberFormat="1" applyFont="1" applyBorder="1" applyAlignment="1">
      <alignment horizontal="left"/>
    </xf>
    <xf numFmtId="14" fontId="22" fillId="0" borderId="10" xfId="0" applyNumberFormat="1" applyFont="1" applyBorder="1" applyAlignment="1">
      <alignment horizontal="left"/>
    </xf>
    <xf numFmtId="0" fontId="22" fillId="33" borderId="10" xfId="0" applyFont="1" applyFill="1" applyBorder="1" applyAlignment="1">
      <alignment horizontal="left"/>
    </xf>
    <xf numFmtId="0" fontId="23" fillId="35" borderId="10" xfId="0" applyFont="1" applyFill="1" applyBorder="1" applyAlignment="1">
      <alignment horizontal="left" vertical="center"/>
    </xf>
    <xf numFmtId="0" fontId="18" fillId="35" borderId="12" xfId="0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14" fontId="23" fillId="35" borderId="10" xfId="0" applyNumberFormat="1" applyFont="1" applyFill="1" applyBorder="1" applyAlignment="1">
      <alignment horizontal="left" vertical="center"/>
    </xf>
    <xf numFmtId="9" fontId="0" fillId="0" borderId="0" xfId="45" applyFont="1" applyAlignment="1">
      <alignment horizontal="center"/>
    </xf>
    <xf numFmtId="9" fontId="23" fillId="35" borderId="10" xfId="45" applyFont="1" applyFill="1" applyBorder="1" applyAlignment="1">
      <alignment horizontal="left" vertical="center"/>
    </xf>
    <xf numFmtId="0" fontId="23" fillId="35" borderId="12" xfId="0" applyFont="1" applyFill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4" fontId="18" fillId="35" borderId="10" xfId="0" applyNumberFormat="1" applyFont="1" applyFill="1" applyBorder="1" applyAlignment="1">
      <alignment horizontal="left" vertical="center"/>
    </xf>
    <xf numFmtId="14" fontId="23" fillId="35" borderId="12" xfId="0" applyNumberFormat="1" applyFont="1" applyFill="1" applyBorder="1" applyAlignment="1">
      <alignment horizontal="left" vertical="center"/>
    </xf>
    <xf numFmtId="14" fontId="18" fillId="35" borderId="12" xfId="0" applyNumberFormat="1" applyFont="1" applyFill="1" applyBorder="1" applyAlignment="1">
      <alignment horizontal="left" vertical="center"/>
    </xf>
    <xf numFmtId="9" fontId="22" fillId="0" borderId="10" xfId="0" applyNumberFormat="1" applyFont="1" applyBorder="1" applyAlignment="1">
      <alignment horizontal="left"/>
    </xf>
    <xf numFmtId="0" fontId="26" fillId="35" borderId="10" xfId="0" applyFont="1" applyFill="1" applyBorder="1" applyAlignment="1">
      <alignment horizontal="left" vertical="center"/>
    </xf>
    <xf numFmtId="9" fontId="22" fillId="33" borderId="10" xfId="0" applyNumberFormat="1" applyFont="1" applyFill="1" applyBorder="1" applyAlignment="1">
      <alignment horizontal="left"/>
    </xf>
    <xf numFmtId="0" fontId="22" fillId="0" borderId="10" xfId="0" applyFont="1" applyFill="1" applyBorder="1" applyAlignment="1">
      <alignment horizontal="left"/>
    </xf>
    <xf numFmtId="9" fontId="22" fillId="0" borderId="10" xfId="45" applyFont="1" applyBorder="1" applyAlignment="1">
      <alignment horizontal="left"/>
    </xf>
    <xf numFmtId="9" fontId="0" fillId="0" borderId="0" xfId="45" applyFont="1" applyAlignment="1">
      <alignment horizontal="left"/>
    </xf>
    <xf numFmtId="164" fontId="21" fillId="0" borderId="0" xfId="0" applyNumberFormat="1" applyFont="1" applyAlignment="1">
      <alignment horizontal="left" vertical="center"/>
    </xf>
    <xf numFmtId="22" fontId="0" fillId="0" borderId="0" xfId="0" applyNumberFormat="1"/>
    <xf numFmtId="20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18" fillId="35" borderId="13" xfId="0" applyFont="1" applyFill="1" applyBorder="1" applyAlignment="1">
      <alignment horizontal="left" vertical="center"/>
    </xf>
    <xf numFmtId="0" fontId="18" fillId="35" borderId="14" xfId="0" applyFont="1" applyFill="1" applyBorder="1" applyAlignment="1">
      <alignment horizontal="left" vertical="center"/>
    </xf>
    <xf numFmtId="0" fontId="28" fillId="36" borderId="13" xfId="0" applyFont="1" applyFill="1" applyBorder="1" applyAlignment="1">
      <alignment horizontal="left" vertical="center"/>
    </xf>
    <xf numFmtId="0" fontId="23" fillId="35" borderId="16" xfId="0" applyFont="1" applyFill="1" applyBorder="1" applyAlignment="1">
      <alignment horizontal="left" vertical="center"/>
    </xf>
    <xf numFmtId="0" fontId="22" fillId="0" borderId="16" xfId="0" applyFont="1" applyBorder="1" applyAlignment="1">
      <alignment horizontal="left"/>
    </xf>
    <xf numFmtId="0" fontId="23" fillId="35" borderId="17" xfId="0" applyFont="1" applyFill="1" applyBorder="1" applyAlignment="1">
      <alignment horizontal="left" vertical="center"/>
    </xf>
    <xf numFmtId="0" fontId="22" fillId="0" borderId="17" xfId="0" applyFont="1" applyBorder="1" applyAlignment="1">
      <alignment horizontal="left"/>
    </xf>
    <xf numFmtId="0" fontId="23" fillId="35" borderId="15" xfId="0" applyFont="1" applyFill="1" applyBorder="1" applyAlignment="1">
      <alignment horizontal="left" vertical="center"/>
    </xf>
    <xf numFmtId="0" fontId="22" fillId="0" borderId="15" xfId="0" applyFont="1" applyBorder="1" applyAlignment="1">
      <alignment horizontal="left"/>
    </xf>
    <xf numFmtId="0" fontId="19" fillId="34" borderId="0" xfId="0" applyFont="1" applyFill="1" applyBorder="1" applyAlignment="1">
      <alignment horizontal="center" vertical="center" wrapText="1"/>
    </xf>
    <xf numFmtId="0" fontId="19" fillId="34" borderId="11" xfId="0" applyFont="1" applyFill="1" applyBorder="1" applyAlignment="1">
      <alignment horizontal="center" vertical="center" wrapText="1"/>
    </xf>
  </cellXfs>
  <cellStyles count="46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Moeda" xfId="42" builtinId="4"/>
    <cellStyle name="Moeda 2" xfId="44" xr:uid="{00000000-0005-0000-0000-00001F000000}"/>
    <cellStyle name="Neutro" xfId="31" builtinId="28" customBuiltin="1"/>
    <cellStyle name="Normal" xfId="0" builtinId="0"/>
    <cellStyle name="Nota" xfId="32" builtinId="10" customBuiltin="1"/>
    <cellStyle name="Porcentagem" xfId="45" builtinId="5"/>
    <cellStyle name="Ruim" xfId="30" builtinId="27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  <cellStyle name="Vírgula 2" xfId="43" xr:uid="{00000000-0005-0000-0000-00002D000000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BDC71A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BDC71A"/>
      <color rgb="FF35BE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Gráficos!$B$1</c:f>
              <c:strCache>
                <c:ptCount val="1"/>
                <c:pt idx="0">
                  <c:v>Leads em recebimento a mais de 3 dias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Gráficos!$B$2:$B$5</c:f>
              <c:numCache>
                <c:formatCode>General</c:formatCode>
                <c:ptCount val="4"/>
                <c:pt idx="0">
                  <c:v>14</c:v>
                </c:pt>
                <c:pt idx="1">
                  <c:v>54</c:v>
                </c:pt>
                <c:pt idx="2">
                  <c:v>36</c:v>
                </c:pt>
                <c:pt idx="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2-432C-A497-E4187CE08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70208"/>
        <c:axId val="188165112"/>
      </c:lineChart>
      <c:catAx>
        <c:axId val="1881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5112"/>
        <c:crosses val="autoZero"/>
        <c:auto val="1"/>
        <c:lblAlgn val="ctr"/>
        <c:lblOffset val="100"/>
        <c:noMultiLvlLbl val="0"/>
      </c:catAx>
      <c:valAx>
        <c:axId val="18816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7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Gráficos!$C$1</c:f>
              <c:strCache>
                <c:ptCount val="1"/>
                <c:pt idx="0">
                  <c:v>Leads com atividades atrasadas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Gráficos!$C$2:$C$5</c:f>
              <c:numCache>
                <c:formatCode>General</c:formatCode>
                <c:ptCount val="4"/>
                <c:pt idx="0">
                  <c:v>21</c:v>
                </c:pt>
                <c:pt idx="1">
                  <c:v>25</c:v>
                </c:pt>
                <c:pt idx="2">
                  <c:v>17</c:v>
                </c:pt>
                <c:pt idx="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C5-4945-8D9F-188A9D9B3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63936"/>
        <c:axId val="188165504"/>
      </c:lineChart>
      <c:catAx>
        <c:axId val="1881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5504"/>
        <c:crosses val="autoZero"/>
        <c:auto val="1"/>
        <c:lblAlgn val="ctr"/>
        <c:lblOffset val="100"/>
        <c:noMultiLvlLbl val="0"/>
      </c:catAx>
      <c:valAx>
        <c:axId val="18816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Gráficos!$D$1</c:f>
              <c:strCache>
                <c:ptCount val="1"/>
                <c:pt idx="0">
                  <c:v>Leads parados sem atividades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Gráficos!$D$2:$D$5</c:f>
              <c:numCache>
                <c:formatCode>General</c:formatCode>
                <c:ptCount val="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2-494B-A75C-D3916D660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66680"/>
        <c:axId val="188165896"/>
      </c:lineChart>
      <c:catAx>
        <c:axId val="188166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5896"/>
        <c:crosses val="autoZero"/>
        <c:auto val="1"/>
        <c:lblAlgn val="ctr"/>
        <c:lblOffset val="100"/>
        <c:noMultiLvlLbl val="0"/>
      </c:catAx>
      <c:valAx>
        <c:axId val="18816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Gráficos!$E$1</c:f>
              <c:strCache>
                <c:ptCount val="1"/>
                <c:pt idx="0">
                  <c:v>Leads sem fonte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Gráficos!$E$2:$E$5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4F-45F0-B520-4DC7C402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69816"/>
        <c:axId val="188209872"/>
      </c:lineChart>
      <c:catAx>
        <c:axId val="18816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09872"/>
        <c:crosses val="autoZero"/>
        <c:auto val="1"/>
        <c:lblAlgn val="ctr"/>
        <c:lblOffset val="100"/>
        <c:noMultiLvlLbl val="0"/>
      </c:catAx>
      <c:valAx>
        <c:axId val="18820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16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Gráficos!$F$1</c:f>
              <c:strCache>
                <c:ptCount val="1"/>
                <c:pt idx="0">
                  <c:v>Leads sem segmento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Gráficos!$F$2:$F$5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1-465D-BCE5-C86EC5550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07912"/>
        <c:axId val="188208304"/>
      </c:lineChart>
      <c:catAx>
        <c:axId val="188207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08304"/>
        <c:crosses val="autoZero"/>
        <c:auto val="1"/>
        <c:lblAlgn val="ctr"/>
        <c:lblOffset val="100"/>
        <c:noMultiLvlLbl val="0"/>
      </c:catAx>
      <c:valAx>
        <c:axId val="18820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Gráficos!$G$1</c:f>
              <c:strCache>
                <c:ptCount val="1"/>
                <c:pt idx="0">
                  <c:v>Negócios parados sem atividades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Gráficos!$G$2:$G$5</c:f>
              <c:numCache>
                <c:formatCode>General</c:formatCode>
                <c:ptCount val="4"/>
                <c:pt idx="0">
                  <c:v>15</c:v>
                </c:pt>
                <c:pt idx="1">
                  <c:v>30</c:v>
                </c:pt>
                <c:pt idx="2">
                  <c:v>28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6-49AD-9C6C-7AD72D2BD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62336"/>
        <c:axId val="379762728"/>
      </c:lineChart>
      <c:catAx>
        <c:axId val="3797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2728"/>
        <c:crosses val="autoZero"/>
        <c:auto val="1"/>
        <c:lblAlgn val="ctr"/>
        <c:lblOffset val="100"/>
        <c:noMultiLvlLbl val="0"/>
      </c:catAx>
      <c:valAx>
        <c:axId val="37976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Gráficos!$H$1</c:f>
              <c:strCache>
                <c:ptCount val="1"/>
                <c:pt idx="0">
                  <c:v>Negócios com atividades atrasadas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Gráficos!$H$2:$H$5</c:f>
              <c:numCache>
                <c:formatCode>General</c:formatCode>
                <c:ptCount val="4"/>
                <c:pt idx="0">
                  <c:v>15</c:v>
                </c:pt>
                <c:pt idx="1">
                  <c:v>18</c:v>
                </c:pt>
                <c:pt idx="2">
                  <c:v>30</c:v>
                </c:pt>
                <c:pt idx="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1-476C-81DD-B62C339EA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64296"/>
        <c:axId val="379760768"/>
      </c:lineChart>
      <c:catAx>
        <c:axId val="37976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0768"/>
        <c:crosses val="autoZero"/>
        <c:auto val="1"/>
        <c:lblAlgn val="ctr"/>
        <c:lblOffset val="100"/>
        <c:noMultiLvlLbl val="0"/>
      </c:catAx>
      <c:valAx>
        <c:axId val="3797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Gráficos!$I$1</c:f>
              <c:strCache>
                <c:ptCount val="1"/>
                <c:pt idx="0">
                  <c:v>Negócios sem empresa definida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Gráficos!$I$2:$I$5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9-4DFB-9A78-C01EA4992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59984"/>
        <c:axId val="379765864"/>
      </c:lineChart>
      <c:catAx>
        <c:axId val="37975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5864"/>
        <c:crosses val="autoZero"/>
        <c:auto val="1"/>
        <c:lblAlgn val="ctr"/>
        <c:lblOffset val="100"/>
        <c:noMultiLvlLbl val="0"/>
      </c:catAx>
      <c:valAx>
        <c:axId val="37976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5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Gráficos!$J$1</c:f>
              <c:strCache>
                <c:ptCount val="1"/>
                <c:pt idx="0">
                  <c:v>Negócios sem fonte definida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Gráficos!$J$2:$J$5</c:f>
              <c:numCache>
                <c:formatCode>General</c:formatCode>
                <c:ptCount val="4"/>
                <c:pt idx="0">
                  <c:v>6</c:v>
                </c:pt>
                <c:pt idx="1">
                  <c:v>2</c:v>
                </c:pt>
                <c:pt idx="2">
                  <c:v>8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C-4215-BE4E-298B88EC5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63904"/>
        <c:axId val="379765080"/>
      </c:lineChart>
      <c:catAx>
        <c:axId val="3797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5080"/>
        <c:crosses val="autoZero"/>
        <c:auto val="1"/>
        <c:lblAlgn val="ctr"/>
        <c:lblOffset val="100"/>
        <c:noMultiLvlLbl val="0"/>
      </c:catAx>
      <c:valAx>
        <c:axId val="37976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Gráficos!$K$1</c:f>
              <c:strCache>
                <c:ptCount val="1"/>
                <c:pt idx="0">
                  <c:v>Negócios sem contato definido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Gráficos!$K$2:$K$5</c:f>
              <c:numCache>
                <c:formatCode>General</c:formatCode>
                <c:ptCount val="4"/>
                <c:pt idx="0">
                  <c:v>22</c:v>
                </c:pt>
                <c:pt idx="1">
                  <c:v>21</c:v>
                </c:pt>
                <c:pt idx="2">
                  <c:v>19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1-4047-8A68-8B5508071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61160"/>
        <c:axId val="379766648"/>
      </c:lineChart>
      <c:catAx>
        <c:axId val="379761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6648"/>
        <c:crosses val="autoZero"/>
        <c:auto val="1"/>
        <c:lblAlgn val="ctr"/>
        <c:lblOffset val="100"/>
        <c:noMultiLvlLbl val="0"/>
      </c:catAx>
      <c:valAx>
        <c:axId val="37976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Gráficos!$L$1</c:f>
              <c:strCache>
                <c:ptCount val="1"/>
                <c:pt idx="0">
                  <c:v>Negócios sem probabilidade de ganho e/ou data de fechamento definida</c:v>
                </c:pt>
              </c:strCache>
            </c:strRef>
          </c:tx>
          <c:spPr>
            <a:ln w="28575" cap="rnd">
              <a:solidFill>
                <a:srgbClr val="BDC71A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DC7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Gráficos!$A$2:$A$5</c:f>
              <c:strCache>
                <c:ptCount val="4"/>
                <c:pt idx="0">
                  <c:v>Semana 25</c:v>
                </c:pt>
                <c:pt idx="1">
                  <c:v>Semana 26</c:v>
                </c:pt>
                <c:pt idx="2">
                  <c:v>Semana 27</c:v>
                </c:pt>
                <c:pt idx="3">
                  <c:v>Semana 28</c:v>
                </c:pt>
              </c:strCache>
            </c:strRef>
          </c:cat>
          <c:val>
            <c:numRef>
              <c:f>Gráficos!$L$2:$L$5</c:f>
              <c:numCache>
                <c:formatCode>General</c:formatCode>
                <c:ptCount val="4"/>
                <c:pt idx="0">
                  <c:v>45</c:v>
                </c:pt>
                <c:pt idx="1">
                  <c:v>69</c:v>
                </c:pt>
                <c:pt idx="2">
                  <c:v>43</c:v>
                </c:pt>
                <c:pt idx="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0-445B-9E79-625500807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767040"/>
        <c:axId val="379767432"/>
      </c:lineChart>
      <c:catAx>
        <c:axId val="37976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7432"/>
        <c:crosses val="autoZero"/>
        <c:auto val="1"/>
        <c:lblAlgn val="ctr"/>
        <c:lblOffset val="100"/>
        <c:noMultiLvlLbl val="0"/>
      </c:catAx>
      <c:valAx>
        <c:axId val="37976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76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3228975</xdr:colOff>
      <xdr:row>3</xdr:row>
      <xdr:rowOff>123825</xdr:rowOff>
    </xdr:from>
    <xdr:to>
      <xdr:col>3</xdr:col>
      <xdr:colOff>57150</xdr:colOff>
      <xdr:row>6</xdr:row>
      <xdr:rowOff>104775</xdr:rowOff>
    </xdr:to>
    <xdr:sp macro="[0]!ferramneta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62425" y="523875"/>
          <a:ext cx="1485900" cy="695325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CLIQUE</a:t>
          </a:r>
          <a:r>
            <a:rPr lang="pt-BR" sz="1600" b="1" baseline="0">
              <a:solidFill>
                <a:schemeClr val="tx1"/>
              </a:solidFill>
            </a:rPr>
            <a:t> AQUI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166687</xdr:rowOff>
    </xdr:from>
    <xdr:to>
      <xdr:col>3</xdr:col>
      <xdr:colOff>133350</xdr:colOff>
      <xdr:row>20</xdr:row>
      <xdr:rowOff>52387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180975</xdr:colOff>
      <xdr:row>6</xdr:row>
      <xdr:rowOff>9525</xdr:rowOff>
    </xdr:from>
    <xdr:to>
      <xdr:col>8</xdr:col>
      <xdr:colOff>361950</xdr:colOff>
      <xdr:row>20</xdr:row>
      <xdr:rowOff>85725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414617</xdr:colOff>
      <xdr:row>6</xdr:row>
      <xdr:rowOff>22412</xdr:rowOff>
    </xdr:from>
    <xdr:to>
      <xdr:col>16</xdr:col>
      <xdr:colOff>124946</xdr:colOff>
      <xdr:row>20</xdr:row>
      <xdr:rowOff>98612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145676</xdr:colOff>
      <xdr:row>6</xdr:row>
      <xdr:rowOff>0</xdr:rowOff>
    </xdr:from>
    <xdr:to>
      <xdr:col>23</xdr:col>
      <xdr:colOff>461123</xdr:colOff>
      <xdr:row>20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100853</xdr:colOff>
      <xdr:row>20</xdr:row>
      <xdr:rowOff>134471</xdr:rowOff>
    </xdr:from>
    <xdr:to>
      <xdr:col>3</xdr:col>
      <xdr:colOff>214594</xdr:colOff>
      <xdr:row>35</xdr:row>
      <xdr:rowOff>20171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324971</xdr:colOff>
      <xdr:row>20</xdr:row>
      <xdr:rowOff>89648</xdr:rowOff>
    </xdr:from>
    <xdr:to>
      <xdr:col>8</xdr:col>
      <xdr:colOff>505946</xdr:colOff>
      <xdr:row>34</xdr:row>
      <xdr:rowOff>165848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571499</xdr:colOff>
      <xdr:row>20</xdr:row>
      <xdr:rowOff>145677</xdr:rowOff>
    </xdr:from>
    <xdr:to>
      <xdr:col>16</xdr:col>
      <xdr:colOff>281828</xdr:colOff>
      <xdr:row>35</xdr:row>
      <xdr:rowOff>31377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212911</xdr:colOff>
      <xdr:row>20</xdr:row>
      <xdr:rowOff>123265</xdr:rowOff>
    </xdr:from>
    <xdr:to>
      <xdr:col>23</xdr:col>
      <xdr:colOff>528358</xdr:colOff>
      <xdr:row>35</xdr:row>
      <xdr:rowOff>8965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145676</xdr:colOff>
      <xdr:row>35</xdr:row>
      <xdr:rowOff>78441</xdr:rowOff>
    </xdr:from>
    <xdr:to>
      <xdr:col>3</xdr:col>
      <xdr:colOff>259417</xdr:colOff>
      <xdr:row>49</xdr:row>
      <xdr:rowOff>154641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358589</xdr:colOff>
      <xdr:row>35</xdr:row>
      <xdr:rowOff>33617</xdr:rowOff>
    </xdr:from>
    <xdr:to>
      <xdr:col>8</xdr:col>
      <xdr:colOff>539564</xdr:colOff>
      <xdr:row>49</xdr:row>
      <xdr:rowOff>109817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582705</xdr:colOff>
      <xdr:row>35</xdr:row>
      <xdr:rowOff>33618</xdr:rowOff>
    </xdr:from>
    <xdr:to>
      <xdr:col>16</xdr:col>
      <xdr:colOff>293034</xdr:colOff>
      <xdr:row>49</xdr:row>
      <xdr:rowOff>109818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D80D1F-75EE-44F6-A9E1-030C2A2ED79D}" name="Portfólio" displayName="Portfólio" ref="B8:N118" totalsRowShown="0" headerRowDxfId="16" dataDxfId="14" headerRowBorderDxfId="15" tableBorderDxfId="13">
  <autoFilter ref="B8:N118" xr:uid="{3EC061D9-9E09-44A3-BDFC-3850601FA595}"/>
  <tableColumns count="13">
    <tableColumn id="1" xr3:uid="{18512553-DE3D-42F4-BF29-482BE19C3536}" name="ID" dataDxfId="12"/>
    <tableColumn id="2" xr3:uid="{2615D7E5-BC3F-494A-B3DD-12ABD620AAA6}" name="Nome do Negócio" dataDxfId="11"/>
    <tableColumn id="3" xr3:uid="{C1031D48-9344-4C78-9C7A-7C84A329E7D3}" name="Fase" dataDxfId="10"/>
    <tableColumn id="4" xr3:uid="{C781BE24-33EC-464D-B363-D49AC613D5D9}" name="Responsável" dataDxfId="9"/>
    <tableColumn id="5" xr3:uid="{405BDA1E-2169-4A12-B0C9-206B3C7EF6CA}" name="BU" dataDxfId="8"/>
    <tableColumn id="6" xr3:uid="{E3166238-36BD-48C1-A38D-55C190C37C7F}" name="PORTFÓLIO | Remediação e Compensação" dataDxfId="7"/>
    <tableColumn id="7" xr3:uid="{06E7D930-F813-41FD-B591-8382A67E575C}" name="PORTFÓLIO | Outros" dataDxfId="6"/>
    <tableColumn id="8" xr3:uid="{EA2CF4C4-42A7-428C-A9A4-A5A68D8BE100}" name="PORTFÓLIO | Gestão De Resíduos" dataDxfId="5"/>
    <tableColumn id="9" xr3:uid="{B6EE5C0F-4D02-490F-A96E-DEC9B405D96C}" name="PORTFÓLIO | Infraestrutura" dataDxfId="4"/>
    <tableColumn id="10" xr3:uid="{F62C3486-E155-4587-A98A-3385137B46A4}" name="PORTFÓLIO | Gestão De Água" dataDxfId="3"/>
    <tableColumn id="11" xr3:uid="{656A0CE0-6509-4868-B502-CF75C4CEB5D0}" name="PORTFÓLIO | Desassoreamento E Dragagem" dataDxfId="2"/>
    <tableColumn id="12" xr3:uid="{A018F936-0A3A-4648-A67B-77052D2C316B}" name="Linha de Serviço" dataDxfId="1"/>
    <tableColumn id="13" xr3:uid="{2B1EB8BD-FE0B-4200-B45A-519415640546}" name="Portfól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rgb="FFBDC71A"/>
  </sheetPr>
  <dimension ref="B1:H31"/>
  <sheetViews>
    <sheetView showGridLines="0" tabSelected="1" topLeftCell="B1" workbookViewId="0">
      <pane ySplit="8" topLeftCell="A9" activePane="bottomLeft" state="frozen"/>
      <selection pane="bottomLeft" activeCell="D6" sqref="D6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69.85546875" customWidth="1"/>
    <col min="4" max="4" width="16" customWidth="1"/>
    <col min="5" max="5" width="15.42578125" bestFit="1" customWidth="1"/>
    <col min="6" max="6" width="23.85546875" bestFit="1" customWidth="1"/>
    <col min="7" max="7" width="22.85546875" bestFit="1" customWidth="1"/>
    <col min="8" max="8" width="22.7109375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8" s="3" customFormat="1" hidden="1" x14ac:dyDescent="0.2">
      <c r="B1" s="10"/>
      <c r="C1" s="10"/>
      <c r="D1" s="10"/>
      <c r="E1" s="12"/>
      <c r="F1" s="10"/>
      <c r="G1" s="10"/>
      <c r="H1" s="10"/>
    </row>
    <row r="2" spans="2:8" s="3" customFormat="1" ht="26.25" customHeight="1" x14ac:dyDescent="0.25">
      <c r="B2" s="44" t="s">
        <v>27</v>
      </c>
      <c r="C2" s="44"/>
      <c r="D2" s="44"/>
      <c r="E2" s="44"/>
      <c r="F2" s="44"/>
      <c r="G2" s="44"/>
      <c r="H2" s="44"/>
    </row>
    <row r="3" spans="2:8" s="3" customFormat="1" ht="5.25" customHeight="1" x14ac:dyDescent="0.25">
      <c r="B3" s="44"/>
      <c r="C3" s="44"/>
      <c r="D3" s="44"/>
      <c r="E3" s="44"/>
      <c r="F3" s="44"/>
      <c r="G3" s="44"/>
      <c r="H3" s="44"/>
    </row>
    <row r="4" spans="2:8" s="3" customFormat="1" ht="18.75" customHeight="1" x14ac:dyDescent="0.25">
      <c r="B4" s="4" t="s">
        <v>15</v>
      </c>
      <c r="C4" s="5" t="s">
        <v>31</v>
      </c>
      <c r="E4" s="2"/>
      <c r="F4" s="2"/>
      <c r="G4" s="2"/>
    </row>
    <row r="5" spans="2:8" s="3" customFormat="1" ht="18.75" customHeight="1" x14ac:dyDescent="0.25">
      <c r="B5" s="4" t="s">
        <v>16</v>
      </c>
      <c r="C5" s="5" t="s">
        <v>127</v>
      </c>
      <c r="E5" s="2"/>
      <c r="F5" s="2"/>
      <c r="G5" s="2"/>
    </row>
    <row r="6" spans="2:8" s="3" customFormat="1" ht="18.75" customHeight="1" x14ac:dyDescent="0.25">
      <c r="B6" s="4" t="s">
        <v>17</v>
      </c>
      <c r="C6" s="31">
        <v>44014.492418981485</v>
      </c>
      <c r="E6" s="2"/>
      <c r="F6" s="2"/>
      <c r="G6" s="2"/>
    </row>
    <row r="7" spans="2:8" ht="18.75" customHeight="1" x14ac:dyDescent="0.25">
      <c r="B7" s="1"/>
      <c r="C7" s="1"/>
      <c r="D7" s="1"/>
      <c r="E7" s="1"/>
      <c r="F7" s="1"/>
      <c r="G7" s="1"/>
    </row>
    <row r="8" spans="2:8" x14ac:dyDescent="0.25">
      <c r="B8" s="9" t="s">
        <v>0</v>
      </c>
      <c r="C8" s="9" t="s">
        <v>13</v>
      </c>
      <c r="D8" s="9" t="s">
        <v>14</v>
      </c>
      <c r="E8" s="9" t="s">
        <v>7</v>
      </c>
      <c r="F8" s="9" t="s">
        <v>8</v>
      </c>
      <c r="G8" s="9" t="s">
        <v>6</v>
      </c>
      <c r="H8" s="9" t="s">
        <v>10</v>
      </c>
    </row>
    <row r="9" spans="2:8" x14ac:dyDescent="0.25">
      <c r="B9" s="10">
        <v>4791</v>
      </c>
      <c r="C9" s="10" t="s">
        <v>129</v>
      </c>
      <c r="D9" s="10" t="s">
        <v>84</v>
      </c>
      <c r="E9" s="12">
        <v>43985.446319444447</v>
      </c>
      <c r="F9" s="10" t="s">
        <v>48</v>
      </c>
      <c r="G9" s="10" t="s">
        <v>152</v>
      </c>
      <c r="H9" s="10" t="s">
        <v>87</v>
      </c>
    </row>
    <row r="10" spans="2:8" x14ac:dyDescent="0.25">
      <c r="B10" s="10">
        <v>4830</v>
      </c>
      <c r="C10" s="10" t="s">
        <v>130</v>
      </c>
      <c r="D10" s="10" t="s">
        <v>84</v>
      </c>
      <c r="E10" s="12">
        <v>43992.63349537037</v>
      </c>
      <c r="F10" s="10" t="s">
        <v>9</v>
      </c>
      <c r="G10" s="10" t="s">
        <v>153</v>
      </c>
      <c r="H10" s="10" t="s">
        <v>52</v>
      </c>
    </row>
    <row r="11" spans="2:8" x14ac:dyDescent="0.25">
      <c r="B11" s="10">
        <v>4838</v>
      </c>
      <c r="C11" s="10" t="s">
        <v>131</v>
      </c>
      <c r="D11" s="10" t="s">
        <v>84</v>
      </c>
      <c r="E11" s="12">
        <v>43997.450173611112</v>
      </c>
      <c r="F11" s="10" t="s">
        <v>48</v>
      </c>
      <c r="G11" s="10" t="s">
        <v>154</v>
      </c>
      <c r="H11" s="10" t="s">
        <v>110</v>
      </c>
    </row>
    <row r="12" spans="2:8" x14ac:dyDescent="0.25">
      <c r="B12" s="10">
        <v>4840</v>
      </c>
      <c r="C12" s="10" t="s">
        <v>132</v>
      </c>
      <c r="D12" s="10" t="s">
        <v>84</v>
      </c>
      <c r="E12" s="12">
        <v>43997.632164351853</v>
      </c>
      <c r="F12" s="10" t="s">
        <v>48</v>
      </c>
      <c r="G12" s="10" t="s">
        <v>155</v>
      </c>
      <c r="H12" s="10" t="s">
        <v>85</v>
      </c>
    </row>
    <row r="13" spans="2:8" x14ac:dyDescent="0.25">
      <c r="B13" s="10">
        <v>4864</v>
      </c>
      <c r="C13" s="10" t="s">
        <v>133</v>
      </c>
      <c r="D13" s="10" t="s">
        <v>84</v>
      </c>
      <c r="E13" s="12">
        <v>43999.390960648147</v>
      </c>
      <c r="F13" s="10" t="s">
        <v>48</v>
      </c>
      <c r="G13" s="10" t="s">
        <v>156</v>
      </c>
      <c r="H13" s="10" t="s">
        <v>52</v>
      </c>
    </row>
    <row r="14" spans="2:8" x14ac:dyDescent="0.25">
      <c r="B14" s="10">
        <v>4866</v>
      </c>
      <c r="C14" s="10" t="s">
        <v>134</v>
      </c>
      <c r="D14" s="10" t="s">
        <v>84</v>
      </c>
      <c r="E14" s="12">
        <v>43999.393067129633</v>
      </c>
      <c r="F14" s="10" t="s">
        <v>49</v>
      </c>
      <c r="G14" s="10" t="s">
        <v>157</v>
      </c>
      <c r="H14" s="10" t="s">
        <v>52</v>
      </c>
    </row>
    <row r="15" spans="2:8" x14ac:dyDescent="0.25">
      <c r="B15" s="10">
        <v>4868</v>
      </c>
      <c r="C15" s="10" t="s">
        <v>135</v>
      </c>
      <c r="D15" s="10" t="s">
        <v>84</v>
      </c>
      <c r="E15" s="12">
        <v>43999.450497685182</v>
      </c>
      <c r="F15" s="10" t="s">
        <v>48</v>
      </c>
      <c r="G15" s="10" t="s">
        <v>152</v>
      </c>
      <c r="H15" s="10" t="s">
        <v>116</v>
      </c>
    </row>
    <row r="16" spans="2:8" x14ac:dyDescent="0.25">
      <c r="B16" s="10">
        <v>4870</v>
      </c>
      <c r="C16" s="10" t="s">
        <v>136</v>
      </c>
      <c r="D16" s="10" t="s">
        <v>84</v>
      </c>
      <c r="E16" s="12">
        <v>43999.547476851854</v>
      </c>
      <c r="F16" s="10" t="s">
        <v>49</v>
      </c>
      <c r="G16" s="10" t="s">
        <v>153</v>
      </c>
      <c r="H16" s="10" t="s">
        <v>85</v>
      </c>
    </row>
    <row r="17" spans="2:8" x14ac:dyDescent="0.25">
      <c r="B17" s="10">
        <v>4872</v>
      </c>
      <c r="C17" s="10" t="s">
        <v>137</v>
      </c>
      <c r="D17" s="10" t="s">
        <v>84</v>
      </c>
      <c r="E17" s="12">
        <v>43999.607129629629</v>
      </c>
      <c r="F17" s="10" t="s">
        <v>48</v>
      </c>
      <c r="G17" s="10" t="s">
        <v>154</v>
      </c>
      <c r="H17" s="10" t="s">
        <v>85</v>
      </c>
    </row>
    <row r="18" spans="2:8" x14ac:dyDescent="0.25">
      <c r="B18" s="10">
        <v>4898</v>
      </c>
      <c r="C18" s="10" t="s">
        <v>138</v>
      </c>
      <c r="D18" s="10" t="s">
        <v>84</v>
      </c>
      <c r="E18" s="12">
        <v>44003.447418981479</v>
      </c>
      <c r="F18" s="10" t="s">
        <v>86</v>
      </c>
      <c r="G18" s="10" t="s">
        <v>155</v>
      </c>
      <c r="H18" s="10" t="s">
        <v>57</v>
      </c>
    </row>
    <row r="19" spans="2:8" x14ac:dyDescent="0.25">
      <c r="B19" s="10">
        <v>4912</v>
      </c>
      <c r="C19" s="10" t="s">
        <v>139</v>
      </c>
      <c r="D19" s="10" t="s">
        <v>84</v>
      </c>
      <c r="E19" s="12">
        <v>44003.804618055554</v>
      </c>
      <c r="F19" s="10" t="s">
        <v>50</v>
      </c>
      <c r="G19" s="10" t="s">
        <v>156</v>
      </c>
      <c r="H19" s="10" t="s">
        <v>53</v>
      </c>
    </row>
    <row r="20" spans="2:8" x14ac:dyDescent="0.25">
      <c r="B20" s="10">
        <v>4914</v>
      </c>
      <c r="C20" s="10" t="s">
        <v>140</v>
      </c>
      <c r="D20" s="10" t="s">
        <v>84</v>
      </c>
      <c r="E20" s="12">
        <v>44003.806018518517</v>
      </c>
      <c r="F20" s="10" t="s">
        <v>50</v>
      </c>
      <c r="G20" s="10" t="s">
        <v>157</v>
      </c>
      <c r="H20" s="10" t="s">
        <v>53</v>
      </c>
    </row>
    <row r="21" spans="2:8" x14ac:dyDescent="0.25">
      <c r="B21" s="10">
        <v>4916</v>
      </c>
      <c r="C21" s="10" t="s">
        <v>141</v>
      </c>
      <c r="D21" s="10" t="s">
        <v>84</v>
      </c>
      <c r="E21" s="12">
        <v>44003.807222222225</v>
      </c>
      <c r="F21" s="10" t="s">
        <v>50</v>
      </c>
      <c r="G21" s="10" t="s">
        <v>152</v>
      </c>
      <c r="H21" s="10" t="s">
        <v>53</v>
      </c>
    </row>
    <row r="22" spans="2:8" x14ac:dyDescent="0.25">
      <c r="B22" s="10">
        <v>4918</v>
      </c>
      <c r="C22" s="10" t="s">
        <v>142</v>
      </c>
      <c r="D22" s="10" t="s">
        <v>84</v>
      </c>
      <c r="E22" s="12">
        <v>44003.808587962965</v>
      </c>
      <c r="F22" s="10" t="s">
        <v>50</v>
      </c>
      <c r="G22" s="10" t="s">
        <v>153</v>
      </c>
      <c r="H22" s="10" t="s">
        <v>53</v>
      </c>
    </row>
    <row r="23" spans="2:8" x14ac:dyDescent="0.25">
      <c r="B23" s="10">
        <v>4924</v>
      </c>
      <c r="C23" s="10" t="s">
        <v>143</v>
      </c>
      <c r="D23" s="10" t="s">
        <v>84</v>
      </c>
      <c r="E23" s="12">
        <v>44003.814097222225</v>
      </c>
      <c r="F23" s="10" t="s">
        <v>50</v>
      </c>
      <c r="G23" s="10" t="s">
        <v>154</v>
      </c>
      <c r="H23" s="10" t="s">
        <v>51</v>
      </c>
    </row>
    <row r="24" spans="2:8" x14ac:dyDescent="0.25">
      <c r="B24" s="10">
        <v>4928</v>
      </c>
      <c r="C24" s="10" t="s">
        <v>144</v>
      </c>
      <c r="D24" s="10" t="s">
        <v>84</v>
      </c>
      <c r="E24" s="12">
        <v>44004.544722222221</v>
      </c>
      <c r="F24" s="10" t="s">
        <v>48</v>
      </c>
      <c r="G24" s="10" t="s">
        <v>155</v>
      </c>
      <c r="H24" s="10" t="s">
        <v>108</v>
      </c>
    </row>
    <row r="25" spans="2:8" x14ac:dyDescent="0.25">
      <c r="B25" s="10">
        <v>4932</v>
      </c>
      <c r="C25" s="10" t="s">
        <v>145</v>
      </c>
      <c r="D25" s="10" t="s">
        <v>84</v>
      </c>
      <c r="E25" s="12">
        <v>44004.552025462966</v>
      </c>
      <c r="F25" s="10" t="s">
        <v>48</v>
      </c>
      <c r="G25" s="10" t="s">
        <v>156</v>
      </c>
      <c r="H25" s="10" t="s">
        <v>118</v>
      </c>
    </row>
    <row r="26" spans="2:8" x14ac:dyDescent="0.25">
      <c r="B26" s="10">
        <v>4936</v>
      </c>
      <c r="C26" s="10" t="s">
        <v>146</v>
      </c>
      <c r="D26" s="10" t="s">
        <v>84</v>
      </c>
      <c r="E26" s="12">
        <v>44004.662048611113</v>
      </c>
      <c r="F26" s="10" t="s">
        <v>86</v>
      </c>
      <c r="G26" s="10" t="s">
        <v>157</v>
      </c>
      <c r="H26" s="10" t="s">
        <v>108</v>
      </c>
    </row>
    <row r="27" spans="2:8" x14ac:dyDescent="0.25">
      <c r="B27" s="10">
        <v>4946</v>
      </c>
      <c r="C27" s="10" t="s">
        <v>147</v>
      </c>
      <c r="D27" s="10" t="s">
        <v>84</v>
      </c>
      <c r="E27" s="12">
        <v>44005.62636574074</v>
      </c>
      <c r="F27" s="10" t="s">
        <v>86</v>
      </c>
      <c r="G27" s="10" t="s">
        <v>152</v>
      </c>
      <c r="H27" s="10" t="s">
        <v>85</v>
      </c>
    </row>
    <row r="28" spans="2:8" x14ac:dyDescent="0.25">
      <c r="B28" s="10">
        <v>4948</v>
      </c>
      <c r="C28" s="10" t="s">
        <v>148</v>
      </c>
      <c r="D28" s="10" t="s">
        <v>84</v>
      </c>
      <c r="E28" s="12">
        <v>44005.634872685187</v>
      </c>
      <c r="F28" s="10" t="s">
        <v>49</v>
      </c>
      <c r="G28" s="10" t="s">
        <v>153</v>
      </c>
      <c r="H28" s="10" t="s">
        <v>85</v>
      </c>
    </row>
    <row r="29" spans="2:8" x14ac:dyDescent="0.25">
      <c r="B29" s="10">
        <v>4954</v>
      </c>
      <c r="C29" s="10" t="s">
        <v>149</v>
      </c>
      <c r="D29" s="10" t="s">
        <v>84</v>
      </c>
      <c r="E29" s="12">
        <v>44007.454548611109</v>
      </c>
      <c r="F29" s="10" t="s">
        <v>49</v>
      </c>
      <c r="G29" s="10" t="s">
        <v>154</v>
      </c>
      <c r="H29" s="10" t="s">
        <v>85</v>
      </c>
    </row>
    <row r="30" spans="2:8" x14ac:dyDescent="0.25">
      <c r="B30" s="10">
        <v>4956</v>
      </c>
      <c r="C30" s="10" t="s">
        <v>150</v>
      </c>
      <c r="D30" s="10" t="s">
        <v>84</v>
      </c>
      <c r="E30" s="12">
        <v>44007.542187500003</v>
      </c>
      <c r="F30" s="10" t="s">
        <v>86</v>
      </c>
      <c r="G30" s="10" t="s">
        <v>155</v>
      </c>
      <c r="H30" s="10" t="s">
        <v>54</v>
      </c>
    </row>
    <row r="31" spans="2:8" x14ac:dyDescent="0.25">
      <c r="B31" s="10">
        <v>4962</v>
      </c>
      <c r="C31" s="10" t="s">
        <v>151</v>
      </c>
      <c r="D31" s="10" t="s">
        <v>84</v>
      </c>
      <c r="E31" s="12">
        <v>44010.4218287037</v>
      </c>
      <c r="F31" s="10" t="s">
        <v>48</v>
      </c>
      <c r="G31" s="10" t="s">
        <v>156</v>
      </c>
      <c r="H31" s="10" t="s">
        <v>85</v>
      </c>
    </row>
  </sheetData>
  <autoFilter ref="B8:H8" xr:uid="{00000000-0009-0000-0000-000000000000}"/>
  <mergeCells count="1">
    <mergeCell ref="B2:H3"/>
  </mergeCells>
  <phoneticPr fontId="27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7">
    <tabColor rgb="FFBDC71A"/>
  </sheetPr>
  <dimension ref="B1:H33"/>
  <sheetViews>
    <sheetView showGridLines="0" workbookViewId="0">
      <pane ySplit="8" topLeftCell="A9" activePane="bottomLeft" state="frozen"/>
      <selection activeCell="C5" sqref="C5:C6"/>
      <selection pane="bottomLeft" activeCell="G9" sqref="G9:G14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69.85546875" customWidth="1"/>
    <col min="4" max="4" width="16" customWidth="1"/>
    <col min="5" max="5" width="15.42578125" bestFit="1" customWidth="1"/>
    <col min="6" max="6" width="20.28515625" bestFit="1" customWidth="1"/>
    <col min="7" max="7" width="25.140625" bestFit="1" customWidth="1"/>
    <col min="8" max="8" width="20.28515625" bestFit="1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8" s="3" customFormat="1" hidden="1" x14ac:dyDescent="0.2">
      <c r="B1" s="10"/>
      <c r="C1" s="10"/>
      <c r="D1" s="10"/>
      <c r="E1" s="12"/>
      <c r="F1" s="10"/>
      <c r="G1" s="10"/>
      <c r="H1" s="10"/>
    </row>
    <row r="2" spans="2:8" s="3" customFormat="1" ht="26.25" customHeight="1" x14ac:dyDescent="0.25">
      <c r="B2" s="44" t="s">
        <v>25</v>
      </c>
      <c r="C2" s="44"/>
      <c r="D2" s="44"/>
      <c r="E2" s="44"/>
      <c r="F2" s="44"/>
      <c r="G2" s="44"/>
      <c r="H2" s="44"/>
    </row>
    <row r="3" spans="2:8" s="3" customFormat="1" ht="5.25" customHeight="1" x14ac:dyDescent="0.25">
      <c r="B3" s="44"/>
      <c r="C3" s="44"/>
      <c r="D3" s="44"/>
      <c r="E3" s="44"/>
      <c r="F3" s="44"/>
      <c r="G3" s="44"/>
      <c r="H3" s="44"/>
    </row>
    <row r="4" spans="2:8" s="3" customFormat="1" ht="18.75" customHeight="1" x14ac:dyDescent="0.25">
      <c r="B4" s="4" t="s">
        <v>15</v>
      </c>
      <c r="C4" s="5" t="s">
        <v>44</v>
      </c>
      <c r="E4" s="21"/>
      <c r="F4" s="2"/>
      <c r="G4" s="2"/>
    </row>
    <row r="5" spans="2:8" s="3" customFormat="1" ht="18.75" customHeight="1" x14ac:dyDescent="0.25">
      <c r="B5" s="4" t="s">
        <v>16</v>
      </c>
      <c r="C5" s="5" t="s">
        <v>127</v>
      </c>
      <c r="E5" s="21"/>
      <c r="F5" s="2"/>
      <c r="G5" s="2"/>
    </row>
    <row r="6" spans="2:8" s="3" customFormat="1" ht="18.75" customHeight="1" x14ac:dyDescent="0.25">
      <c r="B6" s="4" t="s">
        <v>17</v>
      </c>
      <c r="C6" s="6">
        <v>44014.492418981485</v>
      </c>
      <c r="E6" s="21"/>
      <c r="F6" s="2"/>
      <c r="G6" s="2"/>
    </row>
    <row r="7" spans="2:8" ht="18.75" customHeight="1" x14ac:dyDescent="0.25">
      <c r="B7" s="1"/>
      <c r="C7" s="1"/>
      <c r="D7" s="1"/>
      <c r="E7" s="16"/>
      <c r="F7" s="1"/>
      <c r="G7" s="1"/>
    </row>
    <row r="8" spans="2:8" x14ac:dyDescent="0.25">
      <c r="B8" s="15" t="s">
        <v>0</v>
      </c>
      <c r="C8" s="15" t="s">
        <v>13</v>
      </c>
      <c r="D8" s="15" t="s">
        <v>14</v>
      </c>
      <c r="E8" s="24" t="s">
        <v>7</v>
      </c>
      <c r="F8" s="15" t="s">
        <v>8</v>
      </c>
      <c r="G8" s="15" t="s">
        <v>6</v>
      </c>
      <c r="H8" s="15" t="s">
        <v>10</v>
      </c>
    </row>
    <row r="9" spans="2:8" x14ac:dyDescent="0.25">
      <c r="B9" s="10">
        <v>4791</v>
      </c>
      <c r="C9" s="10" t="s">
        <v>129</v>
      </c>
      <c r="D9" s="10" t="s">
        <v>84</v>
      </c>
      <c r="E9" s="12">
        <v>43985.446319444447</v>
      </c>
      <c r="F9" s="10" t="s">
        <v>48</v>
      </c>
      <c r="G9" s="10" t="s">
        <v>152</v>
      </c>
      <c r="H9" s="10" t="s">
        <v>87</v>
      </c>
    </row>
    <row r="10" spans="2:8" x14ac:dyDescent="0.25">
      <c r="B10" s="10">
        <v>4830</v>
      </c>
      <c r="C10" s="10" t="s">
        <v>130</v>
      </c>
      <c r="D10" s="10" t="s">
        <v>84</v>
      </c>
      <c r="E10" s="12">
        <v>43992.63349537037</v>
      </c>
      <c r="F10" s="10" t="s">
        <v>9</v>
      </c>
      <c r="G10" s="10" t="s">
        <v>153</v>
      </c>
      <c r="H10" s="10" t="s">
        <v>52</v>
      </c>
    </row>
    <row r="11" spans="2:8" x14ac:dyDescent="0.25">
      <c r="B11" s="10">
        <v>4838</v>
      </c>
      <c r="C11" s="10" t="s">
        <v>131</v>
      </c>
      <c r="D11" s="10" t="s">
        <v>84</v>
      </c>
      <c r="E11" s="12">
        <v>43997.450173611112</v>
      </c>
      <c r="F11" s="10" t="s">
        <v>48</v>
      </c>
      <c r="G11" s="10" t="s">
        <v>154</v>
      </c>
      <c r="H11" s="10" t="s">
        <v>110</v>
      </c>
    </row>
    <row r="12" spans="2:8" x14ac:dyDescent="0.25">
      <c r="B12" s="10">
        <v>4840</v>
      </c>
      <c r="C12" s="10" t="s">
        <v>132</v>
      </c>
      <c r="D12" s="10" t="s">
        <v>84</v>
      </c>
      <c r="E12" s="12">
        <v>43997.632164351853</v>
      </c>
      <c r="F12" s="10" t="s">
        <v>48</v>
      </c>
      <c r="G12" s="10" t="s">
        <v>155</v>
      </c>
      <c r="H12" s="10" t="s">
        <v>85</v>
      </c>
    </row>
    <row r="13" spans="2:8" x14ac:dyDescent="0.25">
      <c r="B13" s="10">
        <v>4864</v>
      </c>
      <c r="C13" s="10" t="s">
        <v>133</v>
      </c>
      <c r="D13" s="10" t="s">
        <v>84</v>
      </c>
      <c r="E13" s="12">
        <v>43999.390960648147</v>
      </c>
      <c r="F13" s="10" t="s">
        <v>48</v>
      </c>
      <c r="G13" s="10" t="s">
        <v>156</v>
      </c>
      <c r="H13" s="10" t="s">
        <v>52</v>
      </c>
    </row>
    <row r="14" spans="2:8" x14ac:dyDescent="0.25">
      <c r="B14" s="10">
        <v>4866</v>
      </c>
      <c r="C14" s="10" t="s">
        <v>134</v>
      </c>
      <c r="D14" s="10" t="s">
        <v>84</v>
      </c>
      <c r="E14" s="12">
        <v>43999.393067129633</v>
      </c>
      <c r="F14" s="10" t="s">
        <v>49</v>
      </c>
      <c r="G14" s="10" t="s">
        <v>157</v>
      </c>
      <c r="H14" s="10" t="s">
        <v>52</v>
      </c>
    </row>
    <row r="15" spans="2:8" x14ac:dyDescent="0.25">
      <c r="B15" s="10">
        <v>4868</v>
      </c>
      <c r="C15" s="10" t="s">
        <v>135</v>
      </c>
      <c r="D15" s="10" t="s">
        <v>84</v>
      </c>
      <c r="E15" s="12">
        <v>43999.450497685182</v>
      </c>
      <c r="F15" s="10" t="s">
        <v>48</v>
      </c>
      <c r="G15" s="10" t="s">
        <v>152</v>
      </c>
      <c r="H15" s="10" t="s">
        <v>116</v>
      </c>
    </row>
    <row r="16" spans="2:8" x14ac:dyDescent="0.25">
      <c r="B16" s="10">
        <v>4870</v>
      </c>
      <c r="C16" s="10" t="s">
        <v>136</v>
      </c>
      <c r="D16" s="10" t="s">
        <v>84</v>
      </c>
      <c r="E16" s="12">
        <v>43999.547476851854</v>
      </c>
      <c r="F16" s="10" t="s">
        <v>49</v>
      </c>
      <c r="G16" s="10" t="s">
        <v>153</v>
      </c>
      <c r="H16" s="10" t="s">
        <v>85</v>
      </c>
    </row>
    <row r="17" spans="2:8" x14ac:dyDescent="0.25">
      <c r="B17" s="10">
        <v>4872</v>
      </c>
      <c r="C17" s="10" t="s">
        <v>137</v>
      </c>
      <c r="D17" s="10" t="s">
        <v>84</v>
      </c>
      <c r="E17" s="12">
        <v>43999.607129629629</v>
      </c>
      <c r="F17" s="10" t="s">
        <v>48</v>
      </c>
      <c r="G17" s="10" t="s">
        <v>154</v>
      </c>
      <c r="H17" s="10" t="s">
        <v>85</v>
      </c>
    </row>
    <row r="18" spans="2:8" x14ac:dyDescent="0.25">
      <c r="B18" s="10">
        <v>4898</v>
      </c>
      <c r="C18" s="10" t="s">
        <v>138</v>
      </c>
      <c r="D18" s="10" t="s">
        <v>84</v>
      </c>
      <c r="E18" s="12">
        <v>44001.447418981479</v>
      </c>
      <c r="F18" s="10" t="s">
        <v>86</v>
      </c>
      <c r="G18" s="10" t="s">
        <v>155</v>
      </c>
      <c r="H18" s="10" t="s">
        <v>57</v>
      </c>
    </row>
    <row r="19" spans="2:8" x14ac:dyDescent="0.25">
      <c r="B19" s="10">
        <v>4912</v>
      </c>
      <c r="C19" s="10" t="s">
        <v>139</v>
      </c>
      <c r="D19" s="10" t="s">
        <v>84</v>
      </c>
      <c r="E19" s="12">
        <v>44001.804618055554</v>
      </c>
      <c r="F19" s="10" t="s">
        <v>50</v>
      </c>
      <c r="G19" s="10" t="s">
        <v>156</v>
      </c>
      <c r="H19" s="10" t="s">
        <v>53</v>
      </c>
    </row>
    <row r="20" spans="2:8" x14ac:dyDescent="0.25">
      <c r="B20" s="10">
        <v>4914</v>
      </c>
      <c r="C20" s="10" t="s">
        <v>140</v>
      </c>
      <c r="D20" s="10" t="s">
        <v>84</v>
      </c>
      <c r="E20" s="12">
        <v>44001.806018518517</v>
      </c>
      <c r="F20" s="10" t="s">
        <v>50</v>
      </c>
      <c r="G20" s="10" t="s">
        <v>157</v>
      </c>
      <c r="H20" s="10" t="s">
        <v>53</v>
      </c>
    </row>
    <row r="21" spans="2:8" x14ac:dyDescent="0.25">
      <c r="B21" s="10">
        <v>4916</v>
      </c>
      <c r="C21" s="10" t="s">
        <v>141</v>
      </c>
      <c r="D21" s="10" t="s">
        <v>84</v>
      </c>
      <c r="E21" s="12">
        <v>44001.807222222225</v>
      </c>
      <c r="F21" s="10" t="s">
        <v>50</v>
      </c>
      <c r="G21" s="10" t="s">
        <v>152</v>
      </c>
      <c r="H21" s="10" t="s">
        <v>53</v>
      </c>
    </row>
    <row r="22" spans="2:8" x14ac:dyDescent="0.25">
      <c r="B22" s="10">
        <v>4918</v>
      </c>
      <c r="C22" s="10" t="s">
        <v>142</v>
      </c>
      <c r="D22" s="10" t="s">
        <v>84</v>
      </c>
      <c r="E22" s="12">
        <v>44001.808587962965</v>
      </c>
      <c r="F22" s="10" t="s">
        <v>50</v>
      </c>
      <c r="G22" s="10" t="s">
        <v>153</v>
      </c>
      <c r="H22" s="10" t="s">
        <v>53</v>
      </c>
    </row>
    <row r="23" spans="2:8" x14ac:dyDescent="0.25">
      <c r="B23" s="10">
        <v>4928</v>
      </c>
      <c r="C23" s="10" t="s">
        <v>143</v>
      </c>
      <c r="D23" s="10" t="s">
        <v>84</v>
      </c>
      <c r="E23" s="12">
        <v>44004.544722222221</v>
      </c>
      <c r="F23" s="10" t="s">
        <v>48</v>
      </c>
      <c r="G23" s="10" t="s">
        <v>154</v>
      </c>
      <c r="H23" s="10" t="s">
        <v>108</v>
      </c>
    </row>
    <row r="24" spans="2:8" x14ac:dyDescent="0.25">
      <c r="B24" s="10">
        <v>4932</v>
      </c>
      <c r="C24" s="10" t="s">
        <v>144</v>
      </c>
      <c r="D24" s="10" t="s">
        <v>84</v>
      </c>
      <c r="E24" s="12">
        <v>44004.552025462966</v>
      </c>
      <c r="F24" s="10" t="s">
        <v>48</v>
      </c>
      <c r="G24" s="10" t="s">
        <v>155</v>
      </c>
      <c r="H24" s="10" t="s">
        <v>118</v>
      </c>
    </row>
    <row r="25" spans="2:8" x14ac:dyDescent="0.25">
      <c r="B25" s="10">
        <v>4936</v>
      </c>
      <c r="C25" s="10" t="s">
        <v>145</v>
      </c>
      <c r="D25" s="10" t="s">
        <v>84</v>
      </c>
      <c r="E25" s="12">
        <v>44004.662048611113</v>
      </c>
      <c r="F25" s="10" t="s">
        <v>86</v>
      </c>
      <c r="G25" s="10" t="s">
        <v>156</v>
      </c>
      <c r="H25" s="10" t="s">
        <v>108</v>
      </c>
    </row>
    <row r="26" spans="2:8" x14ac:dyDescent="0.25">
      <c r="B26" s="10">
        <v>4946</v>
      </c>
      <c r="C26" s="10" t="s">
        <v>146</v>
      </c>
      <c r="D26" s="10" t="s">
        <v>84</v>
      </c>
      <c r="E26" s="12">
        <v>44005.62636574074</v>
      </c>
      <c r="F26" s="10" t="s">
        <v>86</v>
      </c>
      <c r="G26" s="10" t="s">
        <v>157</v>
      </c>
      <c r="H26" s="10" t="s">
        <v>85</v>
      </c>
    </row>
    <row r="27" spans="2:8" x14ac:dyDescent="0.25">
      <c r="B27" s="10">
        <v>4948</v>
      </c>
      <c r="C27" s="10" t="s">
        <v>147</v>
      </c>
      <c r="D27" s="10" t="s">
        <v>84</v>
      </c>
      <c r="E27" s="12">
        <v>44005.634872685187</v>
      </c>
      <c r="F27" s="10" t="s">
        <v>49</v>
      </c>
      <c r="G27" s="10" t="s">
        <v>152</v>
      </c>
      <c r="H27" s="10" t="s">
        <v>85</v>
      </c>
    </row>
    <row r="28" spans="2:8" x14ac:dyDescent="0.25">
      <c r="B28" s="10">
        <v>4954</v>
      </c>
      <c r="C28" s="10" t="s">
        <v>148</v>
      </c>
      <c r="D28" s="10" t="s">
        <v>84</v>
      </c>
      <c r="E28" s="12">
        <v>44007.454548611109</v>
      </c>
      <c r="F28" s="10" t="s">
        <v>49</v>
      </c>
      <c r="G28" s="10" t="s">
        <v>153</v>
      </c>
      <c r="H28" s="10" t="s">
        <v>85</v>
      </c>
    </row>
    <row r="29" spans="2:8" x14ac:dyDescent="0.25">
      <c r="B29" s="10">
        <v>4956</v>
      </c>
      <c r="C29" s="10" t="s">
        <v>149</v>
      </c>
      <c r="D29" s="10" t="s">
        <v>84</v>
      </c>
      <c r="E29" s="12">
        <v>44007.542187500003</v>
      </c>
      <c r="F29" s="10" t="s">
        <v>86</v>
      </c>
      <c r="G29" s="10" t="s">
        <v>154</v>
      </c>
      <c r="H29" s="10" t="s">
        <v>54</v>
      </c>
    </row>
    <row r="30" spans="2:8" x14ac:dyDescent="0.25">
      <c r="B30" s="10">
        <v>4962</v>
      </c>
      <c r="C30" s="10" t="s">
        <v>150</v>
      </c>
      <c r="D30" s="10" t="s">
        <v>84</v>
      </c>
      <c r="E30" s="12">
        <v>44008.4218287037</v>
      </c>
      <c r="F30" s="10" t="s">
        <v>48</v>
      </c>
      <c r="G30" s="10" t="s">
        <v>155</v>
      </c>
      <c r="H30" s="10" t="s">
        <v>85</v>
      </c>
    </row>
    <row r="31" spans="2:8" x14ac:dyDescent="0.25">
      <c r="B31" s="10">
        <v>4972</v>
      </c>
      <c r="C31" s="10" t="s">
        <v>151</v>
      </c>
      <c r="D31" s="10" t="s">
        <v>84</v>
      </c>
      <c r="E31" s="12">
        <v>44011.402418981481</v>
      </c>
      <c r="F31" s="10" t="s">
        <v>49</v>
      </c>
      <c r="G31" s="10" t="s">
        <v>156</v>
      </c>
      <c r="H31" s="10" t="s">
        <v>85</v>
      </c>
    </row>
    <row r="32" spans="2:8" x14ac:dyDescent="0.25">
      <c r="B32" s="10">
        <v>4990</v>
      </c>
      <c r="C32" s="10" t="s">
        <v>158</v>
      </c>
      <c r="D32" s="10" t="s">
        <v>84</v>
      </c>
      <c r="E32" s="12">
        <v>44012.622581018521</v>
      </c>
      <c r="F32" s="10" t="s">
        <v>49</v>
      </c>
      <c r="G32" s="10" t="s">
        <v>157</v>
      </c>
      <c r="H32" s="10" t="s">
        <v>125</v>
      </c>
    </row>
    <row r="33" spans="2:8" x14ac:dyDescent="0.25">
      <c r="B33" s="10">
        <v>3752</v>
      </c>
      <c r="C33" s="10" t="s">
        <v>159</v>
      </c>
      <c r="D33" s="10" t="s">
        <v>56</v>
      </c>
      <c r="E33" s="12">
        <v>43798.718240740738</v>
      </c>
      <c r="F33" s="10" t="s">
        <v>50</v>
      </c>
      <c r="G33" s="10" t="s">
        <v>157</v>
      </c>
      <c r="H33" s="10" t="s">
        <v>55</v>
      </c>
    </row>
  </sheetData>
  <autoFilter ref="B8:H8" xr:uid="{00000000-0009-0000-0000-000002000000}"/>
  <mergeCells count="1">
    <mergeCell ref="B2:H3"/>
  </mergeCells>
  <phoneticPr fontId="27" type="noConversion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rgb="FFBDC71A"/>
  </sheetPr>
  <dimension ref="B1:H11"/>
  <sheetViews>
    <sheetView showGridLines="0" topLeftCell="A2" workbookViewId="0">
      <selection activeCell="B9" sqref="B9:H11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69.85546875" customWidth="1"/>
    <col min="4" max="4" width="13.5703125" customWidth="1"/>
    <col min="5" max="5" width="13.7109375" bestFit="1" customWidth="1"/>
    <col min="6" max="6" width="18.7109375" bestFit="1" customWidth="1"/>
    <col min="7" max="7" width="19.28515625" bestFit="1" customWidth="1"/>
    <col min="8" max="8" width="20.5703125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8" s="3" customFormat="1" hidden="1" x14ac:dyDescent="0.2">
      <c r="B1" s="10"/>
      <c r="C1" s="10"/>
      <c r="D1" s="10"/>
      <c r="E1" s="12"/>
      <c r="F1" s="10"/>
      <c r="G1" s="10"/>
      <c r="H1" s="10"/>
    </row>
    <row r="2" spans="2:8" s="3" customFormat="1" ht="26.25" customHeight="1" x14ac:dyDescent="0.25">
      <c r="B2" s="44" t="s">
        <v>24</v>
      </c>
      <c r="C2" s="44"/>
      <c r="D2" s="44"/>
      <c r="E2" s="44"/>
      <c r="F2" s="44"/>
      <c r="G2" s="44"/>
      <c r="H2" s="44"/>
    </row>
    <row r="3" spans="2:8" s="3" customFormat="1" ht="5.25" customHeight="1" x14ac:dyDescent="0.25">
      <c r="B3" s="44"/>
      <c r="C3" s="44"/>
      <c r="D3" s="44"/>
      <c r="E3" s="44"/>
      <c r="F3" s="44"/>
      <c r="G3" s="44"/>
      <c r="H3" s="44"/>
    </row>
    <row r="4" spans="2:8" s="3" customFormat="1" ht="18.75" customHeight="1" x14ac:dyDescent="0.25">
      <c r="B4" s="4" t="s">
        <v>15</v>
      </c>
      <c r="C4" s="5" t="s">
        <v>42</v>
      </c>
      <c r="E4" s="21"/>
      <c r="F4" s="2"/>
      <c r="G4" s="2"/>
    </row>
    <row r="5" spans="2:8" s="3" customFormat="1" ht="18.75" customHeight="1" x14ac:dyDescent="0.25">
      <c r="B5" s="4" t="s">
        <v>16</v>
      </c>
      <c r="C5" s="5" t="s">
        <v>127</v>
      </c>
      <c r="E5" s="21"/>
      <c r="F5" s="2"/>
      <c r="G5" s="2"/>
    </row>
    <row r="6" spans="2:8" s="3" customFormat="1" ht="18.75" customHeight="1" x14ac:dyDescent="0.25">
      <c r="B6" s="4" t="s">
        <v>17</v>
      </c>
      <c r="C6" s="6">
        <v>44014.492418981485</v>
      </c>
      <c r="E6" s="21"/>
      <c r="F6" s="2"/>
      <c r="G6" s="2"/>
    </row>
    <row r="7" spans="2:8" ht="18.75" customHeight="1" x14ac:dyDescent="0.25">
      <c r="B7" s="1"/>
      <c r="C7" s="1"/>
      <c r="D7" s="1"/>
      <c r="E7" s="16"/>
      <c r="F7" s="1"/>
      <c r="G7" s="1"/>
    </row>
    <row r="8" spans="2:8" x14ac:dyDescent="0.25">
      <c r="B8" s="9" t="s">
        <v>0</v>
      </c>
      <c r="C8" s="9" t="s">
        <v>13</v>
      </c>
      <c r="D8" s="9" t="s">
        <v>14</v>
      </c>
      <c r="E8" s="22" t="s">
        <v>7</v>
      </c>
      <c r="F8" s="9" t="s">
        <v>8</v>
      </c>
      <c r="G8" s="9" t="s">
        <v>6</v>
      </c>
      <c r="H8" s="9" t="s">
        <v>10</v>
      </c>
    </row>
    <row r="9" spans="2:8" x14ac:dyDescent="0.25">
      <c r="B9" s="10">
        <v>4791</v>
      </c>
      <c r="C9" s="10" t="s">
        <v>129</v>
      </c>
      <c r="D9" s="10" t="s">
        <v>84</v>
      </c>
      <c r="E9" s="12">
        <v>43985.446319444447</v>
      </c>
      <c r="F9" s="10" t="s">
        <v>48</v>
      </c>
      <c r="G9" s="10" t="s">
        <v>152</v>
      </c>
      <c r="H9" s="10" t="s">
        <v>87</v>
      </c>
    </row>
    <row r="10" spans="2:8" x14ac:dyDescent="0.25">
      <c r="B10" s="10">
        <v>4830</v>
      </c>
      <c r="C10" s="10" t="s">
        <v>130</v>
      </c>
      <c r="D10" s="10" t="s">
        <v>84</v>
      </c>
      <c r="E10" s="12">
        <v>43992.63349537037</v>
      </c>
      <c r="F10" s="10" t="s">
        <v>9</v>
      </c>
      <c r="G10" s="10" t="s">
        <v>153</v>
      </c>
      <c r="H10" s="10" t="s">
        <v>52</v>
      </c>
    </row>
    <row r="11" spans="2:8" x14ac:dyDescent="0.25">
      <c r="B11" s="10">
        <v>4838</v>
      </c>
      <c r="C11" s="10" t="s">
        <v>131</v>
      </c>
      <c r="D11" s="10" t="s">
        <v>84</v>
      </c>
      <c r="E11" s="12">
        <v>43997.450173611112</v>
      </c>
      <c r="F11" s="10" t="s">
        <v>48</v>
      </c>
      <c r="G11" s="10" t="s">
        <v>154</v>
      </c>
      <c r="H11" s="10" t="s">
        <v>110</v>
      </c>
    </row>
  </sheetData>
  <autoFilter ref="B8:H8" xr:uid="{00000000-0009-0000-0000-000003000000}"/>
  <mergeCells count="1">
    <mergeCell ref="B2:H3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8">
    <tabColor rgb="FFBDC71A"/>
  </sheetPr>
  <dimension ref="B1:H8"/>
  <sheetViews>
    <sheetView showGridLines="0" workbookViewId="0">
      <pane ySplit="8" topLeftCell="A9" activePane="bottomLeft" state="frozen"/>
      <selection activeCell="B9" sqref="B9:B32"/>
      <selection pane="bottomLeft" activeCell="B9" sqref="B9:H9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38.42578125" bestFit="1" customWidth="1"/>
    <col min="4" max="4" width="16" customWidth="1"/>
    <col min="5" max="5" width="15.42578125" bestFit="1" customWidth="1"/>
    <col min="6" max="6" width="20.28515625" bestFit="1" customWidth="1"/>
    <col min="7" max="7" width="22.85546875" bestFit="1" customWidth="1"/>
    <col min="8" max="8" width="20.28515625" bestFit="1" customWidth="1"/>
    <col min="254" max="254" width="4.7109375" customWidth="1"/>
    <col min="255" max="255" width="4" bestFit="1" customWidth="1"/>
    <col min="256" max="256" width="42.140625" customWidth="1"/>
    <col min="510" max="510" width="4.7109375" customWidth="1"/>
    <col min="511" max="511" width="4" bestFit="1" customWidth="1"/>
    <col min="512" max="512" width="42.140625" customWidth="1"/>
    <col min="766" max="766" width="4.7109375" customWidth="1"/>
    <col min="767" max="767" width="4" bestFit="1" customWidth="1"/>
    <col min="768" max="768" width="42.140625" customWidth="1"/>
    <col min="1022" max="1022" width="4.7109375" customWidth="1"/>
    <col min="1023" max="1023" width="4" bestFit="1" customWidth="1"/>
    <col min="1024" max="1024" width="42.140625" customWidth="1"/>
    <col min="1278" max="1278" width="4.7109375" customWidth="1"/>
    <col min="1279" max="1279" width="4" bestFit="1" customWidth="1"/>
    <col min="1280" max="1280" width="42.140625" customWidth="1"/>
    <col min="1534" max="1534" width="4.7109375" customWidth="1"/>
    <col min="1535" max="1535" width="4" bestFit="1" customWidth="1"/>
    <col min="1536" max="1536" width="42.140625" customWidth="1"/>
    <col min="1790" max="1790" width="4.7109375" customWidth="1"/>
    <col min="1791" max="1791" width="4" bestFit="1" customWidth="1"/>
    <col min="1792" max="1792" width="42.140625" customWidth="1"/>
    <col min="2046" max="2046" width="4.7109375" customWidth="1"/>
    <col min="2047" max="2047" width="4" bestFit="1" customWidth="1"/>
    <col min="2048" max="2048" width="42.140625" customWidth="1"/>
    <col min="2302" max="2302" width="4.7109375" customWidth="1"/>
    <col min="2303" max="2303" width="4" bestFit="1" customWidth="1"/>
    <col min="2304" max="2304" width="42.140625" customWidth="1"/>
    <col min="2558" max="2558" width="4.7109375" customWidth="1"/>
    <col min="2559" max="2559" width="4" bestFit="1" customWidth="1"/>
    <col min="2560" max="2560" width="42.140625" customWidth="1"/>
    <col min="2814" max="2814" width="4.7109375" customWidth="1"/>
    <col min="2815" max="2815" width="4" bestFit="1" customWidth="1"/>
    <col min="2816" max="2816" width="42.140625" customWidth="1"/>
    <col min="3070" max="3070" width="4.7109375" customWidth="1"/>
    <col min="3071" max="3071" width="4" bestFit="1" customWidth="1"/>
    <col min="3072" max="3072" width="42.140625" customWidth="1"/>
    <col min="3326" max="3326" width="4.7109375" customWidth="1"/>
    <col min="3327" max="3327" width="4" bestFit="1" customWidth="1"/>
    <col min="3328" max="3328" width="42.140625" customWidth="1"/>
    <col min="3582" max="3582" width="4.7109375" customWidth="1"/>
    <col min="3583" max="3583" width="4" bestFit="1" customWidth="1"/>
    <col min="3584" max="3584" width="42.140625" customWidth="1"/>
    <col min="3838" max="3838" width="4.7109375" customWidth="1"/>
    <col min="3839" max="3839" width="4" bestFit="1" customWidth="1"/>
    <col min="3840" max="3840" width="42.140625" customWidth="1"/>
    <col min="4094" max="4094" width="4.7109375" customWidth="1"/>
    <col min="4095" max="4095" width="4" bestFit="1" customWidth="1"/>
    <col min="4096" max="4096" width="42.140625" customWidth="1"/>
    <col min="4350" max="4350" width="4.7109375" customWidth="1"/>
    <col min="4351" max="4351" width="4" bestFit="1" customWidth="1"/>
    <col min="4352" max="4352" width="42.140625" customWidth="1"/>
    <col min="4606" max="4606" width="4.7109375" customWidth="1"/>
    <col min="4607" max="4607" width="4" bestFit="1" customWidth="1"/>
    <col min="4608" max="4608" width="42.140625" customWidth="1"/>
    <col min="4862" max="4862" width="4.7109375" customWidth="1"/>
    <col min="4863" max="4863" width="4" bestFit="1" customWidth="1"/>
    <col min="4864" max="4864" width="42.140625" customWidth="1"/>
    <col min="5118" max="5118" width="4.7109375" customWidth="1"/>
    <col min="5119" max="5119" width="4" bestFit="1" customWidth="1"/>
    <col min="5120" max="5120" width="42.140625" customWidth="1"/>
    <col min="5374" max="5374" width="4.7109375" customWidth="1"/>
    <col min="5375" max="5375" width="4" bestFit="1" customWidth="1"/>
    <col min="5376" max="5376" width="42.140625" customWidth="1"/>
    <col min="5630" max="5630" width="4.7109375" customWidth="1"/>
    <col min="5631" max="5631" width="4" bestFit="1" customWidth="1"/>
    <col min="5632" max="5632" width="42.140625" customWidth="1"/>
    <col min="5886" max="5886" width="4.7109375" customWidth="1"/>
    <col min="5887" max="5887" width="4" bestFit="1" customWidth="1"/>
    <col min="5888" max="5888" width="42.140625" customWidth="1"/>
    <col min="6142" max="6142" width="4.7109375" customWidth="1"/>
    <col min="6143" max="6143" width="4" bestFit="1" customWidth="1"/>
    <col min="6144" max="6144" width="42.140625" customWidth="1"/>
    <col min="6398" max="6398" width="4.7109375" customWidth="1"/>
    <col min="6399" max="6399" width="4" bestFit="1" customWidth="1"/>
    <col min="6400" max="6400" width="42.140625" customWidth="1"/>
    <col min="6654" max="6654" width="4.7109375" customWidth="1"/>
    <col min="6655" max="6655" width="4" bestFit="1" customWidth="1"/>
    <col min="6656" max="6656" width="42.140625" customWidth="1"/>
    <col min="6910" max="6910" width="4.7109375" customWidth="1"/>
    <col min="6911" max="6911" width="4" bestFit="1" customWidth="1"/>
    <col min="6912" max="6912" width="42.140625" customWidth="1"/>
    <col min="7166" max="7166" width="4.7109375" customWidth="1"/>
    <col min="7167" max="7167" width="4" bestFit="1" customWidth="1"/>
    <col min="7168" max="7168" width="42.140625" customWidth="1"/>
    <col min="7422" max="7422" width="4.7109375" customWidth="1"/>
    <col min="7423" max="7423" width="4" bestFit="1" customWidth="1"/>
    <col min="7424" max="7424" width="42.140625" customWidth="1"/>
    <col min="7678" max="7678" width="4.7109375" customWidth="1"/>
    <col min="7679" max="7679" width="4" bestFit="1" customWidth="1"/>
    <col min="7680" max="7680" width="42.140625" customWidth="1"/>
    <col min="7934" max="7934" width="4.7109375" customWidth="1"/>
    <col min="7935" max="7935" width="4" bestFit="1" customWidth="1"/>
    <col min="7936" max="7936" width="42.140625" customWidth="1"/>
    <col min="8190" max="8190" width="4.7109375" customWidth="1"/>
    <col min="8191" max="8191" width="4" bestFit="1" customWidth="1"/>
    <col min="8192" max="8192" width="42.140625" customWidth="1"/>
    <col min="8446" max="8446" width="4.7109375" customWidth="1"/>
    <col min="8447" max="8447" width="4" bestFit="1" customWidth="1"/>
    <col min="8448" max="8448" width="42.140625" customWidth="1"/>
    <col min="8702" max="8702" width="4.7109375" customWidth="1"/>
    <col min="8703" max="8703" width="4" bestFit="1" customWidth="1"/>
    <col min="8704" max="8704" width="42.140625" customWidth="1"/>
    <col min="8958" max="8958" width="4.7109375" customWidth="1"/>
    <col min="8959" max="8959" width="4" bestFit="1" customWidth="1"/>
    <col min="8960" max="8960" width="42.140625" customWidth="1"/>
    <col min="9214" max="9214" width="4.7109375" customWidth="1"/>
    <col min="9215" max="9215" width="4" bestFit="1" customWidth="1"/>
    <col min="9216" max="9216" width="42.140625" customWidth="1"/>
    <col min="9470" max="9470" width="4.7109375" customWidth="1"/>
    <col min="9471" max="9471" width="4" bestFit="1" customWidth="1"/>
    <col min="9472" max="9472" width="42.140625" customWidth="1"/>
    <col min="9726" max="9726" width="4.7109375" customWidth="1"/>
    <col min="9727" max="9727" width="4" bestFit="1" customWidth="1"/>
    <col min="9728" max="9728" width="42.140625" customWidth="1"/>
    <col min="9982" max="9982" width="4.7109375" customWidth="1"/>
    <col min="9983" max="9983" width="4" bestFit="1" customWidth="1"/>
    <col min="9984" max="9984" width="42.140625" customWidth="1"/>
    <col min="10238" max="10238" width="4.7109375" customWidth="1"/>
    <col min="10239" max="10239" width="4" bestFit="1" customWidth="1"/>
    <col min="10240" max="10240" width="42.140625" customWidth="1"/>
    <col min="10494" max="10494" width="4.7109375" customWidth="1"/>
    <col min="10495" max="10495" width="4" bestFit="1" customWidth="1"/>
    <col min="10496" max="10496" width="42.140625" customWidth="1"/>
    <col min="10750" max="10750" width="4.7109375" customWidth="1"/>
    <col min="10751" max="10751" width="4" bestFit="1" customWidth="1"/>
    <col min="10752" max="10752" width="42.140625" customWidth="1"/>
    <col min="11006" max="11006" width="4.7109375" customWidth="1"/>
    <col min="11007" max="11007" width="4" bestFit="1" customWidth="1"/>
    <col min="11008" max="11008" width="42.140625" customWidth="1"/>
    <col min="11262" max="11262" width="4.7109375" customWidth="1"/>
    <col min="11263" max="11263" width="4" bestFit="1" customWidth="1"/>
    <col min="11264" max="11264" width="42.140625" customWidth="1"/>
    <col min="11518" max="11518" width="4.7109375" customWidth="1"/>
    <col min="11519" max="11519" width="4" bestFit="1" customWidth="1"/>
    <col min="11520" max="11520" width="42.140625" customWidth="1"/>
    <col min="11774" max="11774" width="4.7109375" customWidth="1"/>
    <col min="11775" max="11775" width="4" bestFit="1" customWidth="1"/>
    <col min="11776" max="11776" width="42.140625" customWidth="1"/>
    <col min="12030" max="12030" width="4.7109375" customWidth="1"/>
    <col min="12031" max="12031" width="4" bestFit="1" customWidth="1"/>
    <col min="12032" max="12032" width="42.140625" customWidth="1"/>
    <col min="12286" max="12286" width="4.7109375" customWidth="1"/>
    <col min="12287" max="12287" width="4" bestFit="1" customWidth="1"/>
    <col min="12288" max="12288" width="42.140625" customWidth="1"/>
    <col min="12542" max="12542" width="4.7109375" customWidth="1"/>
    <col min="12543" max="12543" width="4" bestFit="1" customWidth="1"/>
    <col min="12544" max="12544" width="42.140625" customWidth="1"/>
    <col min="12798" max="12798" width="4.7109375" customWidth="1"/>
    <col min="12799" max="12799" width="4" bestFit="1" customWidth="1"/>
    <col min="12800" max="12800" width="42.140625" customWidth="1"/>
    <col min="13054" max="13054" width="4.7109375" customWidth="1"/>
    <col min="13055" max="13055" width="4" bestFit="1" customWidth="1"/>
    <col min="13056" max="13056" width="42.140625" customWidth="1"/>
    <col min="13310" max="13310" width="4.7109375" customWidth="1"/>
    <col min="13311" max="13311" width="4" bestFit="1" customWidth="1"/>
    <col min="13312" max="13312" width="42.140625" customWidth="1"/>
    <col min="13566" max="13566" width="4.7109375" customWidth="1"/>
    <col min="13567" max="13567" width="4" bestFit="1" customWidth="1"/>
    <col min="13568" max="13568" width="42.140625" customWidth="1"/>
    <col min="13822" max="13822" width="4.7109375" customWidth="1"/>
    <col min="13823" max="13823" width="4" bestFit="1" customWidth="1"/>
    <col min="13824" max="13824" width="42.140625" customWidth="1"/>
    <col min="14078" max="14078" width="4.7109375" customWidth="1"/>
    <col min="14079" max="14079" width="4" bestFit="1" customWidth="1"/>
    <col min="14080" max="14080" width="42.140625" customWidth="1"/>
    <col min="14334" max="14334" width="4.7109375" customWidth="1"/>
    <col min="14335" max="14335" width="4" bestFit="1" customWidth="1"/>
    <col min="14336" max="14336" width="42.140625" customWidth="1"/>
    <col min="14590" max="14590" width="4.7109375" customWidth="1"/>
    <col min="14591" max="14591" width="4" bestFit="1" customWidth="1"/>
    <col min="14592" max="14592" width="42.140625" customWidth="1"/>
    <col min="14846" max="14846" width="4.7109375" customWidth="1"/>
    <col min="14847" max="14847" width="4" bestFit="1" customWidth="1"/>
    <col min="14848" max="14848" width="42.140625" customWidth="1"/>
    <col min="15102" max="15102" width="4.7109375" customWidth="1"/>
    <col min="15103" max="15103" width="4" bestFit="1" customWidth="1"/>
    <col min="15104" max="15104" width="42.140625" customWidth="1"/>
    <col min="15358" max="15358" width="4.7109375" customWidth="1"/>
    <col min="15359" max="15359" width="4" bestFit="1" customWidth="1"/>
    <col min="15360" max="15360" width="42.140625" customWidth="1"/>
    <col min="15614" max="15614" width="4.7109375" customWidth="1"/>
    <col min="15615" max="15615" width="4" bestFit="1" customWidth="1"/>
    <col min="15616" max="15616" width="42.140625" customWidth="1"/>
    <col min="15870" max="15870" width="4.7109375" customWidth="1"/>
    <col min="15871" max="15871" width="4" bestFit="1" customWidth="1"/>
    <col min="15872" max="15872" width="42.140625" customWidth="1"/>
    <col min="16126" max="16126" width="4.7109375" customWidth="1"/>
    <col min="16127" max="16127" width="4" bestFit="1" customWidth="1"/>
    <col min="16128" max="16128" width="42.140625" customWidth="1"/>
  </cols>
  <sheetData>
    <row r="1" spans="2:8" s="3" customFormat="1" hidden="1" x14ac:dyDescent="0.2">
      <c r="B1" s="10"/>
      <c r="C1" s="10"/>
      <c r="D1" s="10"/>
      <c r="E1" s="12"/>
      <c r="F1" s="10"/>
      <c r="G1" s="10"/>
      <c r="H1" s="10"/>
    </row>
    <row r="2" spans="2:8" s="3" customFormat="1" ht="26.25" customHeight="1" x14ac:dyDescent="0.25">
      <c r="B2" s="44" t="s">
        <v>28</v>
      </c>
      <c r="C2" s="44"/>
      <c r="D2" s="44"/>
      <c r="E2" s="44"/>
      <c r="F2" s="44"/>
      <c r="G2" s="44"/>
      <c r="H2" s="44"/>
    </row>
    <row r="3" spans="2:8" s="3" customFormat="1" ht="5.25" customHeight="1" x14ac:dyDescent="0.25">
      <c r="B3" s="44"/>
      <c r="C3" s="44"/>
      <c r="D3" s="44"/>
      <c r="E3" s="44"/>
      <c r="F3" s="44"/>
      <c r="G3" s="44"/>
      <c r="H3" s="44"/>
    </row>
    <row r="4" spans="2:8" s="3" customFormat="1" ht="18.75" customHeight="1" x14ac:dyDescent="0.25">
      <c r="B4" s="4" t="s">
        <v>15</v>
      </c>
      <c r="C4" s="5" t="s">
        <v>30</v>
      </c>
      <c r="E4" s="2"/>
      <c r="F4" s="2"/>
      <c r="G4" s="2"/>
    </row>
    <row r="5" spans="2:8" s="3" customFormat="1" ht="18.75" customHeight="1" x14ac:dyDescent="0.25">
      <c r="B5" s="4" t="s">
        <v>16</v>
      </c>
      <c r="C5" s="5" t="s">
        <v>127</v>
      </c>
      <c r="E5" s="2"/>
      <c r="F5" s="2"/>
      <c r="G5" s="2"/>
    </row>
    <row r="6" spans="2:8" s="3" customFormat="1" ht="18.75" customHeight="1" x14ac:dyDescent="0.25">
      <c r="B6" s="4" t="s">
        <v>17</v>
      </c>
      <c r="C6" s="6">
        <v>44014.492418981485</v>
      </c>
      <c r="E6" s="2"/>
      <c r="F6" s="2"/>
      <c r="G6" s="2"/>
    </row>
    <row r="7" spans="2:8" ht="18.75" customHeight="1" x14ac:dyDescent="0.25">
      <c r="B7" s="1"/>
      <c r="C7" s="1"/>
      <c r="D7" s="1"/>
      <c r="E7" s="1"/>
      <c r="F7" s="1"/>
      <c r="G7" s="1"/>
    </row>
    <row r="8" spans="2:8" x14ac:dyDescent="0.25">
      <c r="B8" s="9" t="s">
        <v>0</v>
      </c>
      <c r="C8" s="9" t="s">
        <v>13</v>
      </c>
      <c r="D8" s="9" t="s">
        <v>14</v>
      </c>
      <c r="E8" s="9" t="s">
        <v>7</v>
      </c>
      <c r="F8" s="9" t="s">
        <v>8</v>
      </c>
      <c r="G8" s="9" t="s">
        <v>6</v>
      </c>
      <c r="H8" s="9" t="s">
        <v>10</v>
      </c>
    </row>
  </sheetData>
  <autoFilter ref="B8:H8" xr:uid="{00000000-0009-0000-0000-000004000000}"/>
  <mergeCells count="1">
    <mergeCell ref="B2:H3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9">
    <tabColor rgb="FFBDC71A"/>
  </sheetPr>
  <dimension ref="B1:H10"/>
  <sheetViews>
    <sheetView showGridLines="0" workbookViewId="0">
      <pane ySplit="8" topLeftCell="A9" activePane="bottomLeft" state="frozen"/>
      <selection activeCell="B9" sqref="B9:B32"/>
      <selection pane="bottomLeft" activeCell="G13" sqref="G13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42.140625" bestFit="1" customWidth="1"/>
    <col min="4" max="4" width="16" customWidth="1"/>
    <col min="5" max="5" width="15.42578125" bestFit="1" customWidth="1"/>
    <col min="6" max="6" width="20.28515625" bestFit="1" customWidth="1"/>
    <col min="7" max="7" width="22.85546875" bestFit="1" customWidth="1"/>
    <col min="8" max="8" width="20.28515625" bestFit="1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8" s="3" customFormat="1" hidden="1" x14ac:dyDescent="0.2">
      <c r="B1" s="10"/>
      <c r="C1" s="10"/>
      <c r="D1" s="10"/>
      <c r="E1" s="12"/>
      <c r="F1" s="10"/>
      <c r="G1" s="10"/>
      <c r="H1" s="10"/>
    </row>
    <row r="2" spans="2:8" s="3" customFormat="1" ht="26.25" customHeight="1" x14ac:dyDescent="0.25">
      <c r="B2" s="44" t="s">
        <v>26</v>
      </c>
      <c r="C2" s="44"/>
      <c r="D2" s="44"/>
      <c r="E2" s="44"/>
      <c r="F2" s="44"/>
      <c r="G2" s="44"/>
      <c r="H2" s="44"/>
    </row>
    <row r="3" spans="2:8" s="3" customFormat="1" ht="5.25" customHeight="1" x14ac:dyDescent="0.25">
      <c r="B3" s="44"/>
      <c r="C3" s="44"/>
      <c r="D3" s="44"/>
      <c r="E3" s="44"/>
      <c r="F3" s="44"/>
      <c r="G3" s="44"/>
      <c r="H3" s="44"/>
    </row>
    <row r="4" spans="2:8" s="3" customFormat="1" ht="18.75" customHeight="1" x14ac:dyDescent="0.25">
      <c r="B4" s="4" t="s">
        <v>15</v>
      </c>
      <c r="C4" s="5" t="s">
        <v>29</v>
      </c>
      <c r="E4" s="2"/>
      <c r="F4" s="2"/>
      <c r="G4" s="2"/>
    </row>
    <row r="5" spans="2:8" s="3" customFormat="1" ht="18.75" customHeight="1" x14ac:dyDescent="0.25">
      <c r="B5" s="4" t="s">
        <v>16</v>
      </c>
      <c r="C5" s="5" t="s">
        <v>127</v>
      </c>
      <c r="E5" s="2"/>
      <c r="F5" s="2"/>
      <c r="G5" s="2"/>
    </row>
    <row r="6" spans="2:8" s="3" customFormat="1" ht="18.75" customHeight="1" x14ac:dyDescent="0.25">
      <c r="B6" s="4" t="s">
        <v>17</v>
      </c>
      <c r="C6" s="6">
        <v>44014.492418981485</v>
      </c>
      <c r="E6" s="2"/>
      <c r="F6" s="2"/>
      <c r="G6" s="2"/>
    </row>
    <row r="7" spans="2:8" ht="18.75" customHeight="1" x14ac:dyDescent="0.25">
      <c r="B7" s="1"/>
      <c r="C7" s="1"/>
      <c r="D7" s="1"/>
      <c r="E7" s="1"/>
      <c r="F7" s="1"/>
      <c r="G7" s="1"/>
    </row>
    <row r="8" spans="2:8" x14ac:dyDescent="0.25">
      <c r="B8" s="9" t="s">
        <v>0</v>
      </c>
      <c r="C8" s="9" t="s">
        <v>13</v>
      </c>
      <c r="D8" s="9" t="s">
        <v>14</v>
      </c>
      <c r="E8" s="9" t="s">
        <v>7</v>
      </c>
      <c r="F8" s="9" t="s">
        <v>8</v>
      </c>
      <c r="G8" s="9" t="s">
        <v>6</v>
      </c>
      <c r="H8" s="9" t="s">
        <v>10</v>
      </c>
    </row>
    <row r="9" spans="2:8" x14ac:dyDescent="0.25">
      <c r="B9" s="10">
        <v>4866</v>
      </c>
      <c r="C9" s="10" t="s">
        <v>134</v>
      </c>
      <c r="D9" s="10" t="s">
        <v>84</v>
      </c>
      <c r="E9" s="12">
        <v>43999.393067129633</v>
      </c>
      <c r="F9" s="10" t="s">
        <v>49</v>
      </c>
      <c r="G9" s="10" t="s">
        <v>157</v>
      </c>
      <c r="H9" s="10" t="s">
        <v>52</v>
      </c>
    </row>
    <row r="10" spans="2:8" x14ac:dyDescent="0.25">
      <c r="B10" s="10">
        <v>4868</v>
      </c>
      <c r="C10" s="10" t="s">
        <v>135</v>
      </c>
      <c r="D10" s="10" t="s">
        <v>84</v>
      </c>
      <c r="E10" s="12">
        <v>43999.450497685182</v>
      </c>
      <c r="F10" s="10" t="s">
        <v>48</v>
      </c>
      <c r="G10" s="10" t="s">
        <v>152</v>
      </c>
      <c r="H10" s="10" t="s">
        <v>116</v>
      </c>
    </row>
  </sheetData>
  <autoFilter ref="B8:H8" xr:uid="{00000000-0009-0000-0000-000005000000}"/>
  <mergeCells count="1">
    <mergeCell ref="B2:H3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5">
    <tabColor rgb="FFBDC71A"/>
  </sheetPr>
  <dimension ref="B1:I8"/>
  <sheetViews>
    <sheetView showGridLines="0" topLeftCell="A2" workbookViewId="0">
      <selection activeCell="H46" sqref="H46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42.140625" bestFit="1" customWidth="1"/>
    <col min="4" max="4" width="16" customWidth="1"/>
    <col min="5" max="5" width="15.42578125" bestFit="1" customWidth="1"/>
    <col min="6" max="6" width="20.28515625" bestFit="1" customWidth="1"/>
    <col min="7" max="7" width="22.85546875" bestFit="1" customWidth="1"/>
    <col min="8" max="8" width="20.28515625" bestFit="1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9" s="3" customFormat="1" hidden="1" x14ac:dyDescent="0.2">
      <c r="B1" s="10"/>
      <c r="C1" s="10"/>
      <c r="D1" s="10"/>
      <c r="E1" s="11"/>
      <c r="F1" s="10"/>
      <c r="G1" s="10"/>
      <c r="H1" s="28"/>
      <c r="I1" s="13"/>
    </row>
    <row r="2" spans="2:9" s="3" customFormat="1" ht="26.25" customHeight="1" x14ac:dyDescent="0.25">
      <c r="B2" s="44" t="s">
        <v>45</v>
      </c>
      <c r="C2" s="44"/>
      <c r="D2" s="44"/>
      <c r="E2" s="44"/>
      <c r="F2" s="44"/>
      <c r="G2" s="44"/>
      <c r="H2" s="44"/>
      <c r="I2" s="44"/>
    </row>
    <row r="3" spans="2:9" s="3" customFormat="1" ht="5.25" customHeight="1" x14ac:dyDescent="0.25">
      <c r="B3" s="44"/>
      <c r="C3" s="44"/>
      <c r="D3" s="44"/>
      <c r="E3" s="44"/>
      <c r="F3" s="44"/>
      <c r="G3" s="44"/>
      <c r="H3" s="44"/>
      <c r="I3" s="44"/>
    </row>
    <row r="4" spans="2:9" s="3" customFormat="1" ht="18.75" customHeight="1" x14ac:dyDescent="0.25">
      <c r="B4" s="4" t="s">
        <v>15</v>
      </c>
      <c r="C4" s="5" t="s">
        <v>46</v>
      </c>
      <c r="E4" s="2"/>
      <c r="F4" s="2"/>
      <c r="G4" s="2"/>
    </row>
    <row r="5" spans="2:9" s="3" customFormat="1" ht="18.75" customHeight="1" x14ac:dyDescent="0.25">
      <c r="B5" s="4" t="s">
        <v>16</v>
      </c>
      <c r="C5" s="5" t="s">
        <v>127</v>
      </c>
      <c r="E5" s="2"/>
      <c r="F5" s="2"/>
      <c r="G5" s="2"/>
    </row>
    <row r="6" spans="2:9" s="3" customFormat="1" ht="18.75" customHeight="1" x14ac:dyDescent="0.25">
      <c r="B6" s="4" t="s">
        <v>17</v>
      </c>
      <c r="C6" s="6">
        <v>44014.492418981485</v>
      </c>
      <c r="E6" s="2"/>
      <c r="F6" s="2"/>
      <c r="G6" s="2"/>
    </row>
    <row r="7" spans="2:9" ht="18.75" customHeight="1" x14ac:dyDescent="0.25">
      <c r="B7" s="1"/>
      <c r="C7" s="1"/>
      <c r="D7" s="1"/>
      <c r="E7" s="1"/>
      <c r="F7" s="1"/>
      <c r="G7" s="1"/>
    </row>
    <row r="8" spans="2:9" x14ac:dyDescent="0.25">
      <c r="B8" s="9" t="s">
        <v>0</v>
      </c>
      <c r="C8" s="26" t="s">
        <v>13</v>
      </c>
      <c r="D8" s="9" t="s">
        <v>14</v>
      </c>
      <c r="E8" s="9" t="s">
        <v>7</v>
      </c>
      <c r="F8" s="9" t="s">
        <v>8</v>
      </c>
      <c r="G8" s="9" t="s">
        <v>6</v>
      </c>
      <c r="H8" s="9" t="s">
        <v>10</v>
      </c>
      <c r="I8" s="9" t="s">
        <v>9</v>
      </c>
    </row>
  </sheetData>
  <mergeCells count="1">
    <mergeCell ref="B2:I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7116-927D-4650-8C3A-1ED490A682B1}">
  <sheetPr codeName="Planilha1">
    <tabColor rgb="FF7030A0"/>
  </sheetPr>
  <dimension ref="B1:R115"/>
  <sheetViews>
    <sheetView showGridLines="0" topLeftCell="A2" workbookViewId="0">
      <selection activeCell="C18" sqref="C18"/>
    </sheetView>
  </sheetViews>
  <sheetFormatPr defaultColWidth="18.7109375" defaultRowHeight="15" x14ac:dyDescent="0.25"/>
  <cols>
    <col min="1" max="1" width="4.7109375" customWidth="1"/>
    <col min="2" max="2" width="9.28515625" bestFit="1" customWidth="1"/>
    <col min="3" max="3" width="42.140625" bestFit="1" customWidth="1"/>
    <col min="4" max="4" width="16" customWidth="1"/>
    <col min="5" max="5" width="15.42578125" bestFit="1" customWidth="1"/>
    <col min="6" max="6" width="20.28515625" bestFit="1" customWidth="1"/>
    <col min="7" max="7" width="22.85546875" hidden="1" customWidth="1"/>
    <col min="8" max="8" width="20.28515625" hidden="1" customWidth="1"/>
    <col min="9" max="12" width="18.7109375" hidden="1" customWidth="1"/>
    <col min="255" max="255" width="4.7109375" customWidth="1"/>
    <col min="256" max="256" width="4" bestFit="1" customWidth="1"/>
    <col min="257" max="257" width="42.140625" customWidth="1"/>
    <col min="511" max="511" width="4.7109375" customWidth="1"/>
    <col min="512" max="512" width="4" bestFit="1" customWidth="1"/>
    <col min="513" max="513" width="42.140625" customWidth="1"/>
    <col min="767" max="767" width="4.7109375" customWidth="1"/>
    <col min="768" max="768" width="4" bestFit="1" customWidth="1"/>
    <col min="769" max="769" width="42.140625" customWidth="1"/>
    <col min="1023" max="1023" width="4.7109375" customWidth="1"/>
    <col min="1024" max="1024" width="4" bestFit="1" customWidth="1"/>
    <col min="1025" max="1025" width="42.140625" customWidth="1"/>
    <col min="1279" max="1279" width="4.7109375" customWidth="1"/>
    <col min="1280" max="1280" width="4" bestFit="1" customWidth="1"/>
    <col min="1281" max="1281" width="42.140625" customWidth="1"/>
    <col min="1535" max="1535" width="4.7109375" customWidth="1"/>
    <col min="1536" max="1536" width="4" bestFit="1" customWidth="1"/>
    <col min="1537" max="1537" width="42.140625" customWidth="1"/>
    <col min="1791" max="1791" width="4.7109375" customWidth="1"/>
    <col min="1792" max="1792" width="4" bestFit="1" customWidth="1"/>
    <col min="1793" max="1793" width="42.140625" customWidth="1"/>
    <col min="2047" max="2047" width="4.7109375" customWidth="1"/>
    <col min="2048" max="2048" width="4" bestFit="1" customWidth="1"/>
    <col min="2049" max="2049" width="42.140625" customWidth="1"/>
    <col min="2303" max="2303" width="4.7109375" customWidth="1"/>
    <col min="2304" max="2304" width="4" bestFit="1" customWidth="1"/>
    <col min="2305" max="2305" width="42.140625" customWidth="1"/>
    <col min="2559" max="2559" width="4.7109375" customWidth="1"/>
    <col min="2560" max="2560" width="4" bestFit="1" customWidth="1"/>
    <col min="2561" max="2561" width="42.140625" customWidth="1"/>
    <col min="2815" max="2815" width="4.7109375" customWidth="1"/>
    <col min="2816" max="2816" width="4" bestFit="1" customWidth="1"/>
    <col min="2817" max="2817" width="42.140625" customWidth="1"/>
    <col min="3071" max="3071" width="4.7109375" customWidth="1"/>
    <col min="3072" max="3072" width="4" bestFit="1" customWidth="1"/>
    <col min="3073" max="3073" width="42.140625" customWidth="1"/>
    <col min="3327" max="3327" width="4.7109375" customWidth="1"/>
    <col min="3328" max="3328" width="4" bestFit="1" customWidth="1"/>
    <col min="3329" max="3329" width="42.140625" customWidth="1"/>
    <col min="3583" max="3583" width="4.7109375" customWidth="1"/>
    <col min="3584" max="3584" width="4" bestFit="1" customWidth="1"/>
    <col min="3585" max="3585" width="42.140625" customWidth="1"/>
    <col min="3839" max="3839" width="4.7109375" customWidth="1"/>
    <col min="3840" max="3840" width="4" bestFit="1" customWidth="1"/>
    <col min="3841" max="3841" width="42.140625" customWidth="1"/>
    <col min="4095" max="4095" width="4.7109375" customWidth="1"/>
    <col min="4096" max="4096" width="4" bestFit="1" customWidth="1"/>
    <col min="4097" max="4097" width="42.140625" customWidth="1"/>
    <col min="4351" max="4351" width="4.7109375" customWidth="1"/>
    <col min="4352" max="4352" width="4" bestFit="1" customWidth="1"/>
    <col min="4353" max="4353" width="42.140625" customWidth="1"/>
    <col min="4607" max="4607" width="4.7109375" customWidth="1"/>
    <col min="4608" max="4608" width="4" bestFit="1" customWidth="1"/>
    <col min="4609" max="4609" width="42.140625" customWidth="1"/>
    <col min="4863" max="4863" width="4.7109375" customWidth="1"/>
    <col min="4864" max="4864" width="4" bestFit="1" customWidth="1"/>
    <col min="4865" max="4865" width="42.140625" customWidth="1"/>
    <col min="5119" max="5119" width="4.7109375" customWidth="1"/>
    <col min="5120" max="5120" width="4" bestFit="1" customWidth="1"/>
    <col min="5121" max="5121" width="42.140625" customWidth="1"/>
    <col min="5375" max="5375" width="4.7109375" customWidth="1"/>
    <col min="5376" max="5376" width="4" bestFit="1" customWidth="1"/>
    <col min="5377" max="5377" width="42.140625" customWidth="1"/>
    <col min="5631" max="5631" width="4.7109375" customWidth="1"/>
    <col min="5632" max="5632" width="4" bestFit="1" customWidth="1"/>
    <col min="5633" max="5633" width="42.140625" customWidth="1"/>
    <col min="5887" max="5887" width="4.7109375" customWidth="1"/>
    <col min="5888" max="5888" width="4" bestFit="1" customWidth="1"/>
    <col min="5889" max="5889" width="42.140625" customWidth="1"/>
    <col min="6143" max="6143" width="4.7109375" customWidth="1"/>
    <col min="6144" max="6144" width="4" bestFit="1" customWidth="1"/>
    <col min="6145" max="6145" width="42.140625" customWidth="1"/>
    <col min="6399" max="6399" width="4.7109375" customWidth="1"/>
    <col min="6400" max="6400" width="4" bestFit="1" customWidth="1"/>
    <col min="6401" max="6401" width="42.140625" customWidth="1"/>
    <col min="6655" max="6655" width="4.7109375" customWidth="1"/>
    <col min="6656" max="6656" width="4" bestFit="1" customWidth="1"/>
    <col min="6657" max="6657" width="42.140625" customWidth="1"/>
    <col min="6911" max="6911" width="4.7109375" customWidth="1"/>
    <col min="6912" max="6912" width="4" bestFit="1" customWidth="1"/>
    <col min="6913" max="6913" width="42.140625" customWidth="1"/>
    <col min="7167" max="7167" width="4.7109375" customWidth="1"/>
    <col min="7168" max="7168" width="4" bestFit="1" customWidth="1"/>
    <col min="7169" max="7169" width="42.140625" customWidth="1"/>
    <col min="7423" max="7423" width="4.7109375" customWidth="1"/>
    <col min="7424" max="7424" width="4" bestFit="1" customWidth="1"/>
    <col min="7425" max="7425" width="42.140625" customWidth="1"/>
    <col min="7679" max="7679" width="4.7109375" customWidth="1"/>
    <col min="7680" max="7680" width="4" bestFit="1" customWidth="1"/>
    <col min="7681" max="7681" width="42.140625" customWidth="1"/>
    <col min="7935" max="7935" width="4.7109375" customWidth="1"/>
    <col min="7936" max="7936" width="4" bestFit="1" customWidth="1"/>
    <col min="7937" max="7937" width="42.140625" customWidth="1"/>
    <col min="8191" max="8191" width="4.7109375" customWidth="1"/>
    <col min="8192" max="8192" width="4" bestFit="1" customWidth="1"/>
    <col min="8193" max="8193" width="42.140625" customWidth="1"/>
    <col min="8447" max="8447" width="4.7109375" customWidth="1"/>
    <col min="8448" max="8448" width="4" bestFit="1" customWidth="1"/>
    <col min="8449" max="8449" width="42.140625" customWidth="1"/>
    <col min="8703" max="8703" width="4.7109375" customWidth="1"/>
    <col min="8704" max="8704" width="4" bestFit="1" customWidth="1"/>
    <col min="8705" max="8705" width="42.140625" customWidth="1"/>
    <col min="8959" max="8959" width="4.7109375" customWidth="1"/>
    <col min="8960" max="8960" width="4" bestFit="1" customWidth="1"/>
    <col min="8961" max="8961" width="42.140625" customWidth="1"/>
    <col min="9215" max="9215" width="4.7109375" customWidth="1"/>
    <col min="9216" max="9216" width="4" bestFit="1" customWidth="1"/>
    <col min="9217" max="9217" width="42.140625" customWidth="1"/>
    <col min="9471" max="9471" width="4.7109375" customWidth="1"/>
    <col min="9472" max="9472" width="4" bestFit="1" customWidth="1"/>
    <col min="9473" max="9473" width="42.140625" customWidth="1"/>
    <col min="9727" max="9727" width="4.7109375" customWidth="1"/>
    <col min="9728" max="9728" width="4" bestFit="1" customWidth="1"/>
    <col min="9729" max="9729" width="42.140625" customWidth="1"/>
    <col min="9983" max="9983" width="4.7109375" customWidth="1"/>
    <col min="9984" max="9984" width="4" bestFit="1" customWidth="1"/>
    <col min="9985" max="9985" width="42.140625" customWidth="1"/>
    <col min="10239" max="10239" width="4.7109375" customWidth="1"/>
    <col min="10240" max="10240" width="4" bestFit="1" customWidth="1"/>
    <col min="10241" max="10241" width="42.140625" customWidth="1"/>
    <col min="10495" max="10495" width="4.7109375" customWidth="1"/>
    <col min="10496" max="10496" width="4" bestFit="1" customWidth="1"/>
    <col min="10497" max="10497" width="42.140625" customWidth="1"/>
    <col min="10751" max="10751" width="4.7109375" customWidth="1"/>
    <col min="10752" max="10752" width="4" bestFit="1" customWidth="1"/>
    <col min="10753" max="10753" width="42.140625" customWidth="1"/>
    <col min="11007" max="11007" width="4.7109375" customWidth="1"/>
    <col min="11008" max="11008" width="4" bestFit="1" customWidth="1"/>
    <col min="11009" max="11009" width="42.140625" customWidth="1"/>
    <col min="11263" max="11263" width="4.7109375" customWidth="1"/>
    <col min="11264" max="11264" width="4" bestFit="1" customWidth="1"/>
    <col min="11265" max="11265" width="42.140625" customWidth="1"/>
    <col min="11519" max="11519" width="4.7109375" customWidth="1"/>
    <col min="11520" max="11520" width="4" bestFit="1" customWidth="1"/>
    <col min="11521" max="11521" width="42.140625" customWidth="1"/>
    <col min="11775" max="11775" width="4.7109375" customWidth="1"/>
    <col min="11776" max="11776" width="4" bestFit="1" customWidth="1"/>
    <col min="11777" max="11777" width="42.140625" customWidth="1"/>
    <col min="12031" max="12031" width="4.7109375" customWidth="1"/>
    <col min="12032" max="12032" width="4" bestFit="1" customWidth="1"/>
    <col min="12033" max="12033" width="42.140625" customWidth="1"/>
    <col min="12287" max="12287" width="4.7109375" customWidth="1"/>
    <col min="12288" max="12288" width="4" bestFit="1" customWidth="1"/>
    <col min="12289" max="12289" width="42.140625" customWidth="1"/>
    <col min="12543" max="12543" width="4.7109375" customWidth="1"/>
    <col min="12544" max="12544" width="4" bestFit="1" customWidth="1"/>
    <col min="12545" max="12545" width="42.140625" customWidth="1"/>
    <col min="12799" max="12799" width="4.7109375" customWidth="1"/>
    <col min="12800" max="12800" width="4" bestFit="1" customWidth="1"/>
    <col min="12801" max="12801" width="42.140625" customWidth="1"/>
    <col min="13055" max="13055" width="4.7109375" customWidth="1"/>
    <col min="13056" max="13056" width="4" bestFit="1" customWidth="1"/>
    <col min="13057" max="13057" width="42.140625" customWidth="1"/>
    <col min="13311" max="13311" width="4.7109375" customWidth="1"/>
    <col min="13312" max="13312" width="4" bestFit="1" customWidth="1"/>
    <col min="13313" max="13313" width="42.140625" customWidth="1"/>
    <col min="13567" max="13567" width="4.7109375" customWidth="1"/>
    <col min="13568" max="13568" width="4" bestFit="1" customWidth="1"/>
    <col min="13569" max="13569" width="42.140625" customWidth="1"/>
    <col min="13823" max="13823" width="4.7109375" customWidth="1"/>
    <col min="13824" max="13824" width="4" bestFit="1" customWidth="1"/>
    <col min="13825" max="13825" width="42.140625" customWidth="1"/>
    <col min="14079" max="14079" width="4.7109375" customWidth="1"/>
    <col min="14080" max="14080" width="4" bestFit="1" customWidth="1"/>
    <col min="14081" max="14081" width="42.140625" customWidth="1"/>
    <col min="14335" max="14335" width="4.7109375" customWidth="1"/>
    <col min="14336" max="14336" width="4" bestFit="1" customWidth="1"/>
    <col min="14337" max="14337" width="42.140625" customWidth="1"/>
    <col min="14591" max="14591" width="4.7109375" customWidth="1"/>
    <col min="14592" max="14592" width="4" bestFit="1" customWidth="1"/>
    <col min="14593" max="14593" width="42.140625" customWidth="1"/>
    <col min="14847" max="14847" width="4.7109375" customWidth="1"/>
    <col min="14848" max="14848" width="4" bestFit="1" customWidth="1"/>
    <col min="14849" max="14849" width="42.140625" customWidth="1"/>
    <col min="15103" max="15103" width="4.7109375" customWidth="1"/>
    <col min="15104" max="15104" width="4" bestFit="1" customWidth="1"/>
    <col min="15105" max="15105" width="42.140625" customWidth="1"/>
    <col min="15359" max="15359" width="4.7109375" customWidth="1"/>
    <col min="15360" max="15360" width="4" bestFit="1" customWidth="1"/>
    <col min="15361" max="15361" width="42.140625" customWidth="1"/>
    <col min="15615" max="15615" width="4.7109375" customWidth="1"/>
    <col min="15616" max="15616" width="4" bestFit="1" customWidth="1"/>
    <col min="15617" max="15617" width="42.140625" customWidth="1"/>
    <col min="15871" max="15871" width="4.7109375" customWidth="1"/>
    <col min="15872" max="15872" width="4" bestFit="1" customWidth="1"/>
    <col min="15873" max="15873" width="42.140625" customWidth="1"/>
    <col min="16127" max="16127" width="4.7109375" customWidth="1"/>
    <col min="16128" max="16128" width="4" bestFit="1" customWidth="1"/>
    <col min="16129" max="16129" width="42.140625" customWidth="1"/>
  </cols>
  <sheetData>
    <row r="1" spans="2:18" s="3" customFormat="1" hidden="1" x14ac:dyDescent="0.2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3">
        <f>COUNTA(M:M)-1</f>
        <v>107</v>
      </c>
    </row>
    <row r="2" spans="2:18" s="3" customFormat="1" ht="26.25" customHeight="1" x14ac:dyDescent="0.25">
      <c r="B2" s="44" t="s">
        <v>26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2:18" s="3" customFormat="1" ht="5.25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</row>
    <row r="4" spans="2:18" s="3" customFormat="1" ht="18.75" customHeight="1" x14ac:dyDescent="0.25">
      <c r="B4" s="4" t="s">
        <v>15</v>
      </c>
      <c r="C4" s="5" t="s">
        <v>93</v>
      </c>
      <c r="E4" s="2"/>
      <c r="F4" s="2"/>
      <c r="G4" s="2"/>
    </row>
    <row r="5" spans="2:18" s="3" customFormat="1" ht="18.75" customHeight="1" x14ac:dyDescent="0.25">
      <c r="B5" s="4" t="s">
        <v>16</v>
      </c>
      <c r="C5" s="5" t="s">
        <v>127</v>
      </c>
      <c r="E5" s="2"/>
      <c r="F5" s="2"/>
      <c r="G5" s="2"/>
    </row>
    <row r="6" spans="2:18" s="3" customFormat="1" ht="18.75" customHeight="1" x14ac:dyDescent="0.25">
      <c r="B6" s="4" t="s">
        <v>17</v>
      </c>
      <c r="C6" s="6">
        <v>44014.492418981485</v>
      </c>
      <c r="E6" s="2"/>
      <c r="F6" s="2"/>
      <c r="G6" s="2"/>
      <c r="P6"/>
      <c r="Q6"/>
      <c r="R6"/>
    </row>
    <row r="7" spans="2:18" ht="18.75" customHeight="1" x14ac:dyDescent="0.25">
      <c r="B7" s="1"/>
      <c r="C7" s="1"/>
      <c r="D7" s="1"/>
      <c r="E7" s="1"/>
      <c r="F7" s="1"/>
      <c r="G7" s="1"/>
    </row>
    <row r="8" spans="2:18" x14ac:dyDescent="0.25">
      <c r="B8" s="36" t="s">
        <v>0</v>
      </c>
      <c r="C8" s="36" t="s">
        <v>94</v>
      </c>
      <c r="D8" s="36" t="s">
        <v>3</v>
      </c>
      <c r="E8" s="36" t="s">
        <v>6</v>
      </c>
      <c r="F8" s="36" t="s">
        <v>92</v>
      </c>
      <c r="G8" s="36" t="s">
        <v>95</v>
      </c>
      <c r="H8" s="36" t="s">
        <v>96</v>
      </c>
      <c r="I8" s="35" t="s">
        <v>97</v>
      </c>
      <c r="J8" s="35" t="s">
        <v>98</v>
      </c>
      <c r="K8" s="35" t="s">
        <v>99</v>
      </c>
      <c r="L8" s="35" t="s">
        <v>100</v>
      </c>
      <c r="M8" s="37" t="s">
        <v>101</v>
      </c>
      <c r="N8" s="37" t="s">
        <v>102</v>
      </c>
    </row>
    <row r="9" spans="2:18" x14ac:dyDescent="0.25">
      <c r="B9" s="10">
        <v>4364</v>
      </c>
      <c r="C9" s="10" t="s">
        <v>134</v>
      </c>
      <c r="D9" s="43" t="s">
        <v>59</v>
      </c>
      <c r="E9" s="10" t="s">
        <v>152</v>
      </c>
      <c r="F9" s="10" t="s">
        <v>106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 t="s">
        <v>103</v>
      </c>
      <c r="N9" s="10" t="s">
        <v>103</v>
      </c>
    </row>
    <row r="10" spans="2:18" x14ac:dyDescent="0.25">
      <c r="B10" s="10">
        <v>4362</v>
      </c>
      <c r="C10" s="10" t="s">
        <v>135</v>
      </c>
      <c r="D10" s="43" t="s">
        <v>63</v>
      </c>
      <c r="E10" s="10" t="s">
        <v>153</v>
      </c>
      <c r="F10" s="10" t="s">
        <v>106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 t="s">
        <v>103</v>
      </c>
      <c r="N10" s="10" t="s">
        <v>103</v>
      </c>
    </row>
    <row r="11" spans="2:18" x14ac:dyDescent="0.25">
      <c r="B11" s="10">
        <v>4360</v>
      </c>
      <c r="C11" s="10" t="s">
        <v>136</v>
      </c>
      <c r="D11" s="43" t="s">
        <v>60</v>
      </c>
      <c r="E11" s="10" t="s">
        <v>154</v>
      </c>
      <c r="F11" s="10" t="s">
        <v>106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 t="s">
        <v>103</v>
      </c>
      <c r="N11" s="10" t="s">
        <v>103</v>
      </c>
    </row>
    <row r="12" spans="2:18" x14ac:dyDescent="0.25">
      <c r="B12" s="10">
        <v>4358</v>
      </c>
      <c r="C12" s="10" t="s">
        <v>137</v>
      </c>
      <c r="D12" s="43" t="s">
        <v>82</v>
      </c>
      <c r="E12" s="10" t="s">
        <v>155</v>
      </c>
      <c r="F12" s="10" t="s">
        <v>106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 t="s">
        <v>103</v>
      </c>
      <c r="N12" s="10" t="s">
        <v>103</v>
      </c>
    </row>
    <row r="13" spans="2:18" x14ac:dyDescent="0.25">
      <c r="B13" s="10">
        <v>4356</v>
      </c>
      <c r="C13" s="10" t="s">
        <v>138</v>
      </c>
      <c r="D13" s="43" t="s">
        <v>109</v>
      </c>
      <c r="E13" s="10" t="s">
        <v>156</v>
      </c>
      <c r="F13" s="10" t="s">
        <v>106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 t="s">
        <v>103</v>
      </c>
      <c r="N13" s="10" t="s">
        <v>103</v>
      </c>
    </row>
    <row r="14" spans="2:18" x14ac:dyDescent="0.25">
      <c r="B14" s="10">
        <v>4354</v>
      </c>
      <c r="C14" s="10" t="s">
        <v>139</v>
      </c>
      <c r="D14" s="43" t="s">
        <v>59</v>
      </c>
      <c r="E14" s="10" t="s">
        <v>157</v>
      </c>
      <c r="F14" s="10" t="s">
        <v>106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 t="s">
        <v>103</v>
      </c>
      <c r="N14" s="10" t="s">
        <v>103</v>
      </c>
    </row>
    <row r="15" spans="2:18" x14ac:dyDescent="0.25">
      <c r="B15" s="10">
        <v>4346</v>
      </c>
      <c r="C15" s="10" t="s">
        <v>140</v>
      </c>
      <c r="D15" s="43" t="s">
        <v>63</v>
      </c>
      <c r="E15" s="10" t="s">
        <v>152</v>
      </c>
      <c r="F15" s="10" t="s">
        <v>104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 t="s">
        <v>103</v>
      </c>
      <c r="N15" s="10" t="s">
        <v>103</v>
      </c>
    </row>
    <row r="16" spans="2:18" x14ac:dyDescent="0.25">
      <c r="B16" s="10">
        <v>4342</v>
      </c>
      <c r="C16" s="10" t="s">
        <v>141</v>
      </c>
      <c r="D16" s="43" t="s">
        <v>60</v>
      </c>
      <c r="E16" s="10" t="s">
        <v>153</v>
      </c>
      <c r="F16" s="10" t="s">
        <v>104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 t="s">
        <v>103</v>
      </c>
      <c r="N16" s="10" t="s">
        <v>103</v>
      </c>
    </row>
    <row r="17" spans="2:14" x14ac:dyDescent="0.25">
      <c r="B17" s="10">
        <v>4340</v>
      </c>
      <c r="C17" s="10" t="s">
        <v>142</v>
      </c>
      <c r="D17" s="43" t="s">
        <v>82</v>
      </c>
      <c r="E17" s="10" t="s">
        <v>154</v>
      </c>
      <c r="F17" s="10" t="s">
        <v>57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 t="s">
        <v>103</v>
      </c>
      <c r="N17" s="10" t="s">
        <v>103</v>
      </c>
    </row>
    <row r="18" spans="2:14" x14ac:dyDescent="0.25">
      <c r="B18" s="10">
        <v>4338</v>
      </c>
      <c r="C18" s="10" t="s">
        <v>143</v>
      </c>
      <c r="D18" s="43" t="s">
        <v>109</v>
      </c>
      <c r="E18" s="10" t="s">
        <v>155</v>
      </c>
      <c r="F18" s="10" t="s">
        <v>104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 t="s">
        <v>103</v>
      </c>
      <c r="N18" s="10" t="s">
        <v>103</v>
      </c>
    </row>
    <row r="19" spans="2:14" x14ac:dyDescent="0.25">
      <c r="B19" s="10">
        <v>4332</v>
      </c>
      <c r="C19" s="10" t="s">
        <v>144</v>
      </c>
      <c r="D19" s="43" t="s">
        <v>59</v>
      </c>
      <c r="E19" s="10" t="s">
        <v>156</v>
      </c>
      <c r="F19" s="10" t="s">
        <v>55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 t="s">
        <v>103</v>
      </c>
      <c r="N19" s="10" t="s">
        <v>103</v>
      </c>
    </row>
    <row r="20" spans="2:14" x14ac:dyDescent="0.25">
      <c r="B20" s="10">
        <v>4330</v>
      </c>
      <c r="C20" s="10" t="s">
        <v>145</v>
      </c>
      <c r="D20" s="43" t="s">
        <v>63</v>
      </c>
      <c r="E20" s="10" t="s">
        <v>157</v>
      </c>
      <c r="F20" s="10" t="s">
        <v>104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 t="s">
        <v>103</v>
      </c>
      <c r="N20" s="10" t="s">
        <v>103</v>
      </c>
    </row>
    <row r="21" spans="2:14" x14ac:dyDescent="0.25">
      <c r="B21" s="10">
        <v>4328</v>
      </c>
      <c r="C21" s="10" t="s">
        <v>146</v>
      </c>
      <c r="D21" s="43" t="s">
        <v>60</v>
      </c>
      <c r="E21" s="10" t="s">
        <v>152</v>
      </c>
      <c r="F21" s="10" t="s">
        <v>57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 t="s">
        <v>103</v>
      </c>
      <c r="N21" s="10" t="s">
        <v>103</v>
      </c>
    </row>
    <row r="22" spans="2:14" x14ac:dyDescent="0.25">
      <c r="B22" s="10">
        <v>4326</v>
      </c>
      <c r="C22" s="10" t="s">
        <v>147</v>
      </c>
      <c r="D22" s="43" t="s">
        <v>82</v>
      </c>
      <c r="E22" s="10" t="s">
        <v>153</v>
      </c>
      <c r="F22" s="10" t="s">
        <v>57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 t="s">
        <v>103</v>
      </c>
      <c r="N22" s="10" t="s">
        <v>103</v>
      </c>
    </row>
    <row r="23" spans="2:14" x14ac:dyDescent="0.25">
      <c r="B23" s="10">
        <v>4318</v>
      </c>
      <c r="C23" s="10" t="s">
        <v>148</v>
      </c>
      <c r="D23" s="43" t="s">
        <v>109</v>
      </c>
      <c r="E23" s="10" t="s">
        <v>154</v>
      </c>
      <c r="F23" s="10" t="s">
        <v>57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 t="s">
        <v>103</v>
      </c>
      <c r="N23" s="10" t="s">
        <v>103</v>
      </c>
    </row>
    <row r="24" spans="2:14" x14ac:dyDescent="0.25">
      <c r="B24" s="10">
        <v>4312</v>
      </c>
      <c r="C24" s="10" t="s">
        <v>149</v>
      </c>
      <c r="D24" s="43" t="s">
        <v>59</v>
      </c>
      <c r="E24" s="10" t="s">
        <v>155</v>
      </c>
      <c r="F24" s="10" t="s">
        <v>57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 t="s">
        <v>103</v>
      </c>
      <c r="N24" s="10" t="s">
        <v>103</v>
      </c>
    </row>
    <row r="25" spans="2:14" x14ac:dyDescent="0.25">
      <c r="B25" s="10">
        <v>4308</v>
      </c>
      <c r="C25" s="10" t="s">
        <v>150</v>
      </c>
      <c r="D25" s="43" t="s">
        <v>63</v>
      </c>
      <c r="E25" s="10" t="s">
        <v>156</v>
      </c>
      <c r="F25" s="10" t="s">
        <v>115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 t="s">
        <v>103</v>
      </c>
      <c r="N25" s="10" t="s">
        <v>103</v>
      </c>
    </row>
    <row r="26" spans="2:14" x14ac:dyDescent="0.25">
      <c r="B26" s="10">
        <v>4304</v>
      </c>
      <c r="C26" s="10" t="s">
        <v>151</v>
      </c>
      <c r="D26" s="43" t="s">
        <v>60</v>
      </c>
      <c r="E26" s="10" t="s">
        <v>157</v>
      </c>
      <c r="F26" s="10" t="s">
        <v>57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 t="s">
        <v>103</v>
      </c>
      <c r="N26" s="10" t="s">
        <v>103</v>
      </c>
    </row>
    <row r="27" spans="2:14" x14ac:dyDescent="0.25">
      <c r="B27" s="10">
        <v>4302</v>
      </c>
      <c r="C27" s="10" t="s">
        <v>158</v>
      </c>
      <c r="D27" s="43" t="s">
        <v>82</v>
      </c>
      <c r="E27" s="10" t="s">
        <v>152</v>
      </c>
      <c r="F27" s="10" t="s">
        <v>57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 t="s">
        <v>103</v>
      </c>
      <c r="N27" s="10" t="s">
        <v>103</v>
      </c>
    </row>
    <row r="28" spans="2:14" x14ac:dyDescent="0.25">
      <c r="B28" s="10">
        <v>4296</v>
      </c>
      <c r="C28" s="10" t="s">
        <v>159</v>
      </c>
      <c r="D28" s="43" t="s">
        <v>109</v>
      </c>
      <c r="E28" s="10" t="s">
        <v>153</v>
      </c>
      <c r="F28" s="10" t="s">
        <v>57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 t="s">
        <v>103</v>
      </c>
      <c r="N28" s="10" t="s">
        <v>103</v>
      </c>
    </row>
    <row r="29" spans="2:14" x14ac:dyDescent="0.25">
      <c r="B29" s="10">
        <v>4294</v>
      </c>
      <c r="C29" s="10" t="s">
        <v>160</v>
      </c>
      <c r="D29" s="43" t="s">
        <v>59</v>
      </c>
      <c r="E29" s="10" t="s">
        <v>154</v>
      </c>
      <c r="F29" s="10" t="s">
        <v>104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 t="s">
        <v>103</v>
      </c>
      <c r="N29" s="10" t="s">
        <v>103</v>
      </c>
    </row>
    <row r="30" spans="2:14" x14ac:dyDescent="0.25">
      <c r="B30" s="10">
        <v>4292</v>
      </c>
      <c r="C30" s="10" t="s">
        <v>161</v>
      </c>
      <c r="D30" s="43" t="s">
        <v>63</v>
      </c>
      <c r="E30" s="10" t="s">
        <v>155</v>
      </c>
      <c r="F30" s="10" t="s">
        <v>57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 t="s">
        <v>103</v>
      </c>
      <c r="N30" s="10" t="s">
        <v>103</v>
      </c>
    </row>
    <row r="31" spans="2:14" x14ac:dyDescent="0.25">
      <c r="B31" s="10">
        <v>4288</v>
      </c>
      <c r="C31" s="10" t="s">
        <v>162</v>
      </c>
      <c r="D31" s="43" t="s">
        <v>60</v>
      </c>
      <c r="E31" s="10" t="s">
        <v>156</v>
      </c>
      <c r="F31" s="10" t="s">
        <v>115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 t="s">
        <v>103</v>
      </c>
      <c r="N31" s="10" t="s">
        <v>103</v>
      </c>
    </row>
    <row r="32" spans="2:14" x14ac:dyDescent="0.25">
      <c r="B32" s="10">
        <v>4286</v>
      </c>
      <c r="C32" s="10" t="s">
        <v>163</v>
      </c>
      <c r="D32" s="43" t="s">
        <v>82</v>
      </c>
      <c r="E32" s="10" t="s">
        <v>157</v>
      </c>
      <c r="F32" s="10" t="s">
        <v>115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 t="s">
        <v>103</v>
      </c>
      <c r="N32" s="10" t="s">
        <v>103</v>
      </c>
    </row>
    <row r="33" spans="2:14" x14ac:dyDescent="0.25">
      <c r="B33" s="10">
        <v>4282</v>
      </c>
      <c r="C33" s="10" t="s">
        <v>164</v>
      </c>
      <c r="D33" s="43" t="s">
        <v>109</v>
      </c>
      <c r="E33" s="10" t="s">
        <v>152</v>
      </c>
      <c r="F33" s="10" t="s">
        <v>104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 t="s">
        <v>103</v>
      </c>
      <c r="N33" s="10" t="s">
        <v>103</v>
      </c>
    </row>
    <row r="34" spans="2:14" x14ac:dyDescent="0.25">
      <c r="B34" s="10">
        <v>4280</v>
      </c>
      <c r="C34" s="10" t="s">
        <v>165</v>
      </c>
      <c r="D34" s="43" t="s">
        <v>59</v>
      </c>
      <c r="E34" s="10" t="s">
        <v>153</v>
      </c>
      <c r="F34" s="10" t="s">
        <v>104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 t="s">
        <v>103</v>
      </c>
      <c r="N34" s="10" t="s">
        <v>103</v>
      </c>
    </row>
    <row r="35" spans="2:14" x14ac:dyDescent="0.25">
      <c r="B35" s="10">
        <v>4278</v>
      </c>
      <c r="C35" s="10" t="s">
        <v>166</v>
      </c>
      <c r="D35" s="43" t="s">
        <v>63</v>
      </c>
      <c r="E35" s="10" t="s">
        <v>154</v>
      </c>
      <c r="F35" s="10" t="s">
        <v>104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 t="s">
        <v>103</v>
      </c>
      <c r="N35" s="10" t="s">
        <v>103</v>
      </c>
    </row>
    <row r="36" spans="2:14" x14ac:dyDescent="0.25">
      <c r="B36" s="10">
        <v>4274</v>
      </c>
      <c r="C36" s="10" t="s">
        <v>167</v>
      </c>
      <c r="D36" s="43" t="s">
        <v>60</v>
      </c>
      <c r="E36" s="10" t="s">
        <v>155</v>
      </c>
      <c r="F36" s="10" t="s">
        <v>104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 t="s">
        <v>103</v>
      </c>
      <c r="N36" s="10" t="s">
        <v>103</v>
      </c>
    </row>
    <row r="37" spans="2:14" x14ac:dyDescent="0.25">
      <c r="B37" s="10">
        <v>4272</v>
      </c>
      <c r="C37" s="10" t="s">
        <v>168</v>
      </c>
      <c r="D37" s="43" t="s">
        <v>82</v>
      </c>
      <c r="E37" s="10" t="s">
        <v>156</v>
      </c>
      <c r="F37" s="10" t="s">
        <v>104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 t="s">
        <v>103</v>
      </c>
      <c r="N37" s="10" t="s">
        <v>103</v>
      </c>
    </row>
    <row r="38" spans="2:14" x14ac:dyDescent="0.25">
      <c r="B38" s="10">
        <v>4270</v>
      </c>
      <c r="C38" s="10" t="s">
        <v>169</v>
      </c>
      <c r="D38" s="43" t="s">
        <v>109</v>
      </c>
      <c r="E38" s="10" t="s">
        <v>157</v>
      </c>
      <c r="F38" s="10" t="s">
        <v>104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 t="s">
        <v>103</v>
      </c>
      <c r="N38" s="10" t="s">
        <v>103</v>
      </c>
    </row>
    <row r="39" spans="2:14" x14ac:dyDescent="0.25">
      <c r="B39" s="10">
        <v>4260</v>
      </c>
      <c r="C39" s="10" t="s">
        <v>170</v>
      </c>
      <c r="D39" s="43" t="s">
        <v>59</v>
      </c>
      <c r="E39" s="10" t="s">
        <v>152</v>
      </c>
      <c r="F39" s="10" t="s">
        <v>104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 t="s">
        <v>103</v>
      </c>
      <c r="N39" s="10" t="s">
        <v>103</v>
      </c>
    </row>
    <row r="40" spans="2:14" x14ac:dyDescent="0.25">
      <c r="B40" s="10">
        <v>4235</v>
      </c>
      <c r="C40" s="10" t="s">
        <v>171</v>
      </c>
      <c r="D40" s="43" t="s">
        <v>63</v>
      </c>
      <c r="E40" s="10" t="s">
        <v>153</v>
      </c>
      <c r="F40" s="10" t="s">
        <v>57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 t="s">
        <v>103</v>
      </c>
      <c r="N40" s="10" t="s">
        <v>103</v>
      </c>
    </row>
    <row r="41" spans="2:14" x14ac:dyDescent="0.25">
      <c r="B41" s="10">
        <v>4233</v>
      </c>
      <c r="C41" s="10" t="s">
        <v>172</v>
      </c>
      <c r="D41" s="43" t="s">
        <v>60</v>
      </c>
      <c r="E41" s="10" t="s">
        <v>154</v>
      </c>
      <c r="F41" s="10" t="s">
        <v>57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 t="s">
        <v>103</v>
      </c>
      <c r="N41" s="10" t="s">
        <v>103</v>
      </c>
    </row>
    <row r="42" spans="2:14" x14ac:dyDescent="0.25">
      <c r="B42" s="10">
        <v>4231</v>
      </c>
      <c r="C42" s="10" t="s">
        <v>173</v>
      </c>
      <c r="D42" s="43" t="s">
        <v>82</v>
      </c>
      <c r="E42" s="10" t="s">
        <v>155</v>
      </c>
      <c r="F42" s="10" t="s">
        <v>104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 t="s">
        <v>103</v>
      </c>
      <c r="N42" s="10" t="s">
        <v>103</v>
      </c>
    </row>
    <row r="43" spans="2:14" x14ac:dyDescent="0.25">
      <c r="B43" s="10">
        <v>4229</v>
      </c>
      <c r="C43" s="10" t="s">
        <v>174</v>
      </c>
      <c r="D43" s="43" t="s">
        <v>109</v>
      </c>
      <c r="E43" s="10" t="s">
        <v>156</v>
      </c>
      <c r="F43" s="10" t="s">
        <v>111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 t="s">
        <v>103</v>
      </c>
      <c r="N43" s="10" t="s">
        <v>103</v>
      </c>
    </row>
    <row r="44" spans="2:14" x14ac:dyDescent="0.25">
      <c r="B44" s="10">
        <v>4227</v>
      </c>
      <c r="C44" s="10" t="s">
        <v>175</v>
      </c>
      <c r="D44" s="43" t="s">
        <v>59</v>
      </c>
      <c r="E44" s="10" t="s">
        <v>157</v>
      </c>
      <c r="F44" s="10" t="s">
        <v>104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 t="s">
        <v>103</v>
      </c>
      <c r="N44" s="10" t="s">
        <v>103</v>
      </c>
    </row>
    <row r="45" spans="2:14" x14ac:dyDescent="0.25">
      <c r="B45" s="10">
        <v>4225</v>
      </c>
      <c r="C45" s="10" t="s">
        <v>176</v>
      </c>
      <c r="D45" s="43" t="s">
        <v>63</v>
      </c>
      <c r="E45" s="10" t="s">
        <v>152</v>
      </c>
      <c r="F45" s="10" t="s">
        <v>104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 t="s">
        <v>103</v>
      </c>
      <c r="N45" s="10" t="s">
        <v>103</v>
      </c>
    </row>
    <row r="46" spans="2:14" x14ac:dyDescent="0.25">
      <c r="B46" s="10">
        <v>4223</v>
      </c>
      <c r="C46" s="10" t="s">
        <v>177</v>
      </c>
      <c r="D46" s="43" t="s">
        <v>60</v>
      </c>
      <c r="E46" s="10" t="s">
        <v>153</v>
      </c>
      <c r="F46" s="10" t="s">
        <v>106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 t="s">
        <v>103</v>
      </c>
      <c r="N46" s="10" t="s">
        <v>103</v>
      </c>
    </row>
    <row r="47" spans="2:14" x14ac:dyDescent="0.25">
      <c r="B47" s="10">
        <v>4221</v>
      </c>
      <c r="C47" s="10" t="s">
        <v>178</v>
      </c>
      <c r="D47" s="43" t="s">
        <v>82</v>
      </c>
      <c r="E47" s="10" t="s">
        <v>154</v>
      </c>
      <c r="F47" s="10" t="s">
        <v>104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 t="s">
        <v>103</v>
      </c>
      <c r="N47" s="10" t="s">
        <v>103</v>
      </c>
    </row>
    <row r="48" spans="2:14" x14ac:dyDescent="0.25">
      <c r="B48" s="10">
        <v>4211</v>
      </c>
      <c r="C48" s="10" t="s">
        <v>179</v>
      </c>
      <c r="D48" s="43" t="s">
        <v>109</v>
      </c>
      <c r="E48" s="10" t="s">
        <v>155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 t="s">
        <v>103</v>
      </c>
      <c r="N48" s="10" t="s">
        <v>103</v>
      </c>
    </row>
    <row r="49" spans="2:14" x14ac:dyDescent="0.25">
      <c r="B49" s="10">
        <v>4195</v>
      </c>
      <c r="C49" s="10" t="s">
        <v>180</v>
      </c>
      <c r="D49" s="43" t="s">
        <v>59</v>
      </c>
      <c r="E49" s="10" t="s">
        <v>156</v>
      </c>
      <c r="F49" s="10" t="s">
        <v>104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 t="s">
        <v>103</v>
      </c>
      <c r="N49" s="10" t="s">
        <v>103</v>
      </c>
    </row>
    <row r="50" spans="2:14" x14ac:dyDescent="0.25">
      <c r="B50" s="10">
        <v>4193</v>
      </c>
      <c r="C50" s="10" t="s">
        <v>181</v>
      </c>
      <c r="D50" s="43" t="s">
        <v>63</v>
      </c>
      <c r="E50" s="10" t="s">
        <v>157</v>
      </c>
      <c r="F50" s="10" t="s">
        <v>104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 t="s">
        <v>103</v>
      </c>
      <c r="N50" s="10" t="s">
        <v>103</v>
      </c>
    </row>
    <row r="51" spans="2:14" x14ac:dyDescent="0.25">
      <c r="B51" s="10">
        <v>4191</v>
      </c>
      <c r="C51" s="10" t="s">
        <v>182</v>
      </c>
      <c r="D51" s="43" t="s">
        <v>60</v>
      </c>
      <c r="E51" s="10" t="s">
        <v>152</v>
      </c>
      <c r="F51" s="10" t="s">
        <v>104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 t="s">
        <v>103</v>
      </c>
      <c r="N51" s="10" t="s">
        <v>103</v>
      </c>
    </row>
    <row r="52" spans="2:14" x14ac:dyDescent="0.25">
      <c r="B52" s="10">
        <v>4189</v>
      </c>
      <c r="C52" s="10" t="s">
        <v>183</v>
      </c>
      <c r="D52" s="43" t="s">
        <v>82</v>
      </c>
      <c r="E52" s="10" t="s">
        <v>153</v>
      </c>
      <c r="F52" s="10" t="s">
        <v>104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 t="s">
        <v>103</v>
      </c>
      <c r="N52" s="10" t="s">
        <v>103</v>
      </c>
    </row>
    <row r="53" spans="2:14" x14ac:dyDescent="0.25">
      <c r="B53" s="10">
        <v>4187</v>
      </c>
      <c r="C53" s="10" t="s">
        <v>184</v>
      </c>
      <c r="D53" s="43" t="s">
        <v>109</v>
      </c>
      <c r="E53" s="10" t="s">
        <v>154</v>
      </c>
      <c r="F53" s="10" t="s">
        <v>104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 t="s">
        <v>103</v>
      </c>
      <c r="N53" s="10" t="s">
        <v>103</v>
      </c>
    </row>
    <row r="54" spans="2:14" x14ac:dyDescent="0.25">
      <c r="B54" s="10">
        <v>4185</v>
      </c>
      <c r="C54" s="10" t="s">
        <v>185</v>
      </c>
      <c r="D54" s="43" t="s">
        <v>59</v>
      </c>
      <c r="E54" s="10" t="s">
        <v>155</v>
      </c>
      <c r="F54" s="10" t="s">
        <v>104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 t="s">
        <v>103</v>
      </c>
      <c r="N54" s="10" t="s">
        <v>103</v>
      </c>
    </row>
    <row r="55" spans="2:14" x14ac:dyDescent="0.25">
      <c r="B55" s="10">
        <v>4183</v>
      </c>
      <c r="C55" s="10" t="s">
        <v>186</v>
      </c>
      <c r="D55" s="43" t="s">
        <v>63</v>
      </c>
      <c r="E55" s="10" t="s">
        <v>156</v>
      </c>
      <c r="F55" s="10" t="s">
        <v>104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 t="s">
        <v>103</v>
      </c>
      <c r="N55" s="10" t="s">
        <v>103</v>
      </c>
    </row>
    <row r="56" spans="2:14" x14ac:dyDescent="0.25">
      <c r="B56" s="10">
        <v>4177</v>
      </c>
      <c r="C56" s="10" t="s">
        <v>187</v>
      </c>
      <c r="D56" s="43" t="s">
        <v>60</v>
      </c>
      <c r="E56" s="10" t="s">
        <v>157</v>
      </c>
      <c r="F56" s="10" t="s">
        <v>104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 t="s">
        <v>103</v>
      </c>
      <c r="N56" s="10" t="s">
        <v>103</v>
      </c>
    </row>
    <row r="57" spans="2:14" x14ac:dyDescent="0.25">
      <c r="B57" s="10">
        <v>4173</v>
      </c>
      <c r="C57" s="10" t="s">
        <v>188</v>
      </c>
      <c r="D57" s="43" t="s">
        <v>82</v>
      </c>
      <c r="E57" s="10" t="s">
        <v>152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 t="s">
        <v>103</v>
      </c>
      <c r="N57" s="10" t="s">
        <v>103</v>
      </c>
    </row>
    <row r="58" spans="2:14" x14ac:dyDescent="0.25">
      <c r="B58" s="10">
        <v>4141</v>
      </c>
      <c r="C58" s="10" t="s">
        <v>189</v>
      </c>
      <c r="D58" s="43" t="s">
        <v>109</v>
      </c>
      <c r="E58" s="10" t="s">
        <v>153</v>
      </c>
      <c r="F58" s="10" t="s">
        <v>104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 t="s">
        <v>103</v>
      </c>
      <c r="N58" s="10" t="s">
        <v>103</v>
      </c>
    </row>
    <row r="59" spans="2:14" x14ac:dyDescent="0.25">
      <c r="B59" s="10">
        <v>4127</v>
      </c>
      <c r="C59" s="10" t="s">
        <v>190</v>
      </c>
      <c r="D59" s="43" t="s">
        <v>59</v>
      </c>
      <c r="E59" s="10" t="s">
        <v>154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 t="s">
        <v>103</v>
      </c>
      <c r="N59" s="10" t="s">
        <v>103</v>
      </c>
    </row>
    <row r="60" spans="2:14" x14ac:dyDescent="0.25">
      <c r="B60" s="10">
        <v>4123</v>
      </c>
      <c r="C60" s="10" t="s">
        <v>191</v>
      </c>
      <c r="D60" s="43" t="s">
        <v>63</v>
      </c>
      <c r="E60" s="10" t="s">
        <v>155</v>
      </c>
      <c r="F60" s="10" t="s">
        <v>57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 t="s">
        <v>103</v>
      </c>
      <c r="N60" s="10" t="s">
        <v>103</v>
      </c>
    </row>
    <row r="61" spans="2:14" x14ac:dyDescent="0.25">
      <c r="B61" s="10">
        <v>4103</v>
      </c>
      <c r="C61" s="10" t="s">
        <v>192</v>
      </c>
      <c r="D61" s="43" t="s">
        <v>60</v>
      </c>
      <c r="E61" s="10" t="s">
        <v>156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 t="s">
        <v>103</v>
      </c>
      <c r="N61" s="10" t="s">
        <v>103</v>
      </c>
    </row>
    <row r="62" spans="2:14" x14ac:dyDescent="0.25">
      <c r="B62" s="10">
        <v>4091</v>
      </c>
      <c r="C62" s="10" t="s">
        <v>193</v>
      </c>
      <c r="D62" s="43" t="s">
        <v>82</v>
      </c>
      <c r="E62" s="10" t="s">
        <v>157</v>
      </c>
      <c r="F62" s="10" t="s">
        <v>104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 t="s">
        <v>103</v>
      </c>
      <c r="N62" s="10" t="s">
        <v>103</v>
      </c>
    </row>
    <row r="63" spans="2:14" x14ac:dyDescent="0.25">
      <c r="B63" s="10">
        <v>4081</v>
      </c>
      <c r="C63" s="10" t="s">
        <v>194</v>
      </c>
      <c r="D63" s="43" t="s">
        <v>109</v>
      </c>
      <c r="E63" s="10" t="s">
        <v>152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 t="s">
        <v>103</v>
      </c>
      <c r="N63" s="10" t="s">
        <v>103</v>
      </c>
    </row>
    <row r="64" spans="2:14" x14ac:dyDescent="0.25">
      <c r="B64" s="10">
        <v>4039</v>
      </c>
      <c r="C64" s="10" t="s">
        <v>195</v>
      </c>
      <c r="D64" s="43" t="s">
        <v>59</v>
      </c>
      <c r="E64" s="10" t="s">
        <v>153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 t="s">
        <v>103</v>
      </c>
      <c r="N64" s="10" t="s">
        <v>103</v>
      </c>
    </row>
    <row r="65" spans="2:14" x14ac:dyDescent="0.25">
      <c r="B65" s="10">
        <v>4035</v>
      </c>
      <c r="C65" s="10" t="s">
        <v>196</v>
      </c>
      <c r="D65" s="43" t="s">
        <v>63</v>
      </c>
      <c r="E65" s="10" t="s">
        <v>154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 t="s">
        <v>103</v>
      </c>
      <c r="N65" s="10" t="s">
        <v>103</v>
      </c>
    </row>
    <row r="66" spans="2:14" x14ac:dyDescent="0.25">
      <c r="B66" s="10">
        <v>4031</v>
      </c>
      <c r="C66" s="10" t="s">
        <v>197</v>
      </c>
      <c r="D66" s="43" t="s">
        <v>60</v>
      </c>
      <c r="E66" s="10" t="s">
        <v>155</v>
      </c>
      <c r="F66" s="10" t="s">
        <v>57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 t="s">
        <v>103</v>
      </c>
      <c r="N66" s="10" t="s">
        <v>103</v>
      </c>
    </row>
    <row r="67" spans="2:14" x14ac:dyDescent="0.25">
      <c r="B67" s="10">
        <v>4025</v>
      </c>
      <c r="C67" s="10" t="s">
        <v>198</v>
      </c>
      <c r="D67" s="43" t="s">
        <v>82</v>
      </c>
      <c r="E67" s="10" t="s">
        <v>156</v>
      </c>
      <c r="F67" s="10" t="s">
        <v>57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 t="s">
        <v>103</v>
      </c>
      <c r="N67" s="10" t="s">
        <v>103</v>
      </c>
    </row>
    <row r="68" spans="2:14" x14ac:dyDescent="0.25">
      <c r="B68" s="10">
        <v>4023</v>
      </c>
      <c r="C68" s="10" t="s">
        <v>199</v>
      </c>
      <c r="D68" s="43" t="s">
        <v>109</v>
      </c>
      <c r="E68" s="10" t="s">
        <v>157</v>
      </c>
      <c r="F68" s="10" t="s">
        <v>57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 t="s">
        <v>103</v>
      </c>
      <c r="N68" s="10" t="s">
        <v>103</v>
      </c>
    </row>
    <row r="69" spans="2:14" x14ac:dyDescent="0.25">
      <c r="B69" s="10">
        <v>4021</v>
      </c>
      <c r="C69" s="10" t="s">
        <v>200</v>
      </c>
      <c r="D69" s="43" t="s">
        <v>59</v>
      </c>
      <c r="E69" s="10" t="s">
        <v>152</v>
      </c>
      <c r="F69" s="10" t="s">
        <v>57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 t="s">
        <v>103</v>
      </c>
      <c r="N69" s="10" t="s">
        <v>103</v>
      </c>
    </row>
    <row r="70" spans="2:14" x14ac:dyDescent="0.25">
      <c r="B70" s="10">
        <v>4019</v>
      </c>
      <c r="C70" s="10" t="s">
        <v>201</v>
      </c>
      <c r="D70" s="43" t="s">
        <v>63</v>
      </c>
      <c r="E70" s="10" t="s">
        <v>153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 t="s">
        <v>103</v>
      </c>
      <c r="N70" s="10" t="s">
        <v>103</v>
      </c>
    </row>
    <row r="71" spans="2:14" x14ac:dyDescent="0.25">
      <c r="B71" s="10">
        <v>4015</v>
      </c>
      <c r="C71" s="10" t="s">
        <v>202</v>
      </c>
      <c r="D71" s="43" t="s">
        <v>60</v>
      </c>
      <c r="E71" s="10" t="s">
        <v>154</v>
      </c>
      <c r="F71" s="10" t="s">
        <v>57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 t="s">
        <v>103</v>
      </c>
      <c r="N71" s="10" t="s">
        <v>103</v>
      </c>
    </row>
    <row r="72" spans="2:14" x14ac:dyDescent="0.25">
      <c r="B72" s="10">
        <v>4011</v>
      </c>
      <c r="C72" s="10" t="s">
        <v>203</v>
      </c>
      <c r="D72" s="43" t="s">
        <v>82</v>
      </c>
      <c r="E72" s="10" t="s">
        <v>155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 t="s">
        <v>103</v>
      </c>
      <c r="N72" s="10" t="s">
        <v>103</v>
      </c>
    </row>
    <row r="73" spans="2:14" x14ac:dyDescent="0.25">
      <c r="B73" s="10">
        <v>4007</v>
      </c>
      <c r="C73" s="10" t="s">
        <v>204</v>
      </c>
      <c r="D73" s="43" t="s">
        <v>109</v>
      </c>
      <c r="E73" s="10" t="s">
        <v>156</v>
      </c>
      <c r="F73" s="10" t="s">
        <v>104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 t="s">
        <v>103</v>
      </c>
      <c r="N73" s="10" t="s">
        <v>103</v>
      </c>
    </row>
    <row r="74" spans="2:14" x14ac:dyDescent="0.25">
      <c r="B74" s="10">
        <v>3999</v>
      </c>
      <c r="C74" s="10" t="s">
        <v>205</v>
      </c>
      <c r="D74" s="43" t="s">
        <v>59</v>
      </c>
      <c r="E74" s="10" t="s">
        <v>157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 t="s">
        <v>103</v>
      </c>
      <c r="N74" s="10" t="s">
        <v>103</v>
      </c>
    </row>
    <row r="75" spans="2:14" x14ac:dyDescent="0.25">
      <c r="B75" s="10">
        <v>3995</v>
      </c>
      <c r="C75" s="10" t="s">
        <v>206</v>
      </c>
      <c r="D75" s="43" t="s">
        <v>63</v>
      </c>
      <c r="E75" s="10" t="s">
        <v>152</v>
      </c>
      <c r="F75" s="10" t="s">
        <v>81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 t="s">
        <v>103</v>
      </c>
      <c r="N75" s="10" t="s">
        <v>103</v>
      </c>
    </row>
    <row r="76" spans="2:14" x14ac:dyDescent="0.25">
      <c r="B76" s="10">
        <v>3993</v>
      </c>
      <c r="C76" s="10" t="s">
        <v>207</v>
      </c>
      <c r="D76" s="43" t="s">
        <v>60</v>
      </c>
      <c r="E76" s="10" t="s">
        <v>153</v>
      </c>
      <c r="F76" s="10" t="s">
        <v>57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 t="s">
        <v>103</v>
      </c>
      <c r="N76" s="10" t="s">
        <v>103</v>
      </c>
    </row>
    <row r="77" spans="2:14" x14ac:dyDescent="0.25">
      <c r="B77" s="10">
        <v>3989</v>
      </c>
      <c r="C77" s="10" t="s">
        <v>208</v>
      </c>
      <c r="D77" s="43" t="s">
        <v>82</v>
      </c>
      <c r="E77" s="10" t="s">
        <v>154</v>
      </c>
      <c r="F77" s="10" t="s">
        <v>57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 t="s">
        <v>103</v>
      </c>
      <c r="N77" s="10" t="s">
        <v>103</v>
      </c>
    </row>
    <row r="78" spans="2:14" x14ac:dyDescent="0.25">
      <c r="B78" s="10">
        <v>3983</v>
      </c>
      <c r="C78" s="10" t="s">
        <v>209</v>
      </c>
      <c r="D78" s="43" t="s">
        <v>109</v>
      </c>
      <c r="E78" s="10" t="s">
        <v>155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  <c r="M78" s="10" t="s">
        <v>103</v>
      </c>
      <c r="N78" s="10" t="s">
        <v>103</v>
      </c>
    </row>
    <row r="79" spans="2:14" x14ac:dyDescent="0.25">
      <c r="B79" s="10">
        <v>3977</v>
      </c>
      <c r="C79" s="10" t="s">
        <v>210</v>
      </c>
      <c r="D79" s="43" t="s">
        <v>59</v>
      </c>
      <c r="E79" s="10" t="s">
        <v>156</v>
      </c>
      <c r="F79" s="10" t="s">
        <v>57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 t="s">
        <v>103</v>
      </c>
      <c r="N79" s="10" t="s">
        <v>103</v>
      </c>
    </row>
    <row r="80" spans="2:14" x14ac:dyDescent="0.25">
      <c r="B80" s="10">
        <v>3975</v>
      </c>
      <c r="C80" s="10" t="s">
        <v>211</v>
      </c>
      <c r="D80" s="43" t="s">
        <v>63</v>
      </c>
      <c r="E80" s="10" t="s">
        <v>157</v>
      </c>
      <c r="F80" s="10" t="s">
        <v>104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 t="s">
        <v>103</v>
      </c>
      <c r="N80" s="10" t="s">
        <v>103</v>
      </c>
    </row>
    <row r="81" spans="2:14" x14ac:dyDescent="0.25">
      <c r="B81" s="10">
        <v>3973</v>
      </c>
      <c r="C81" s="10" t="s">
        <v>212</v>
      </c>
      <c r="D81" s="43" t="s">
        <v>60</v>
      </c>
      <c r="E81" s="10" t="s">
        <v>152</v>
      </c>
      <c r="F81" s="10" t="s">
        <v>57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 t="s">
        <v>103</v>
      </c>
      <c r="N81" s="10" t="s">
        <v>103</v>
      </c>
    </row>
    <row r="82" spans="2:14" x14ac:dyDescent="0.25">
      <c r="B82" s="10">
        <v>3971</v>
      </c>
      <c r="C82" s="10" t="s">
        <v>213</v>
      </c>
      <c r="D82" s="43" t="s">
        <v>82</v>
      </c>
      <c r="E82" s="10" t="s">
        <v>153</v>
      </c>
      <c r="F82" s="10" t="s">
        <v>106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 t="s">
        <v>103</v>
      </c>
      <c r="N82" s="10" t="s">
        <v>103</v>
      </c>
    </row>
    <row r="83" spans="2:14" x14ac:dyDescent="0.25">
      <c r="B83" s="10">
        <v>3969</v>
      </c>
      <c r="C83" s="10" t="s">
        <v>214</v>
      </c>
      <c r="D83" s="43" t="s">
        <v>109</v>
      </c>
      <c r="E83" s="10" t="s">
        <v>154</v>
      </c>
      <c r="F83" s="10" t="s">
        <v>104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 t="s">
        <v>103</v>
      </c>
      <c r="N83" s="10" t="s">
        <v>103</v>
      </c>
    </row>
    <row r="84" spans="2:14" x14ac:dyDescent="0.25">
      <c r="B84" s="10">
        <v>3967</v>
      </c>
      <c r="C84" s="10" t="s">
        <v>215</v>
      </c>
      <c r="D84" s="43" t="s">
        <v>59</v>
      </c>
      <c r="E84" s="10" t="s">
        <v>155</v>
      </c>
      <c r="F84" s="10" t="s">
        <v>106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 t="s">
        <v>103</v>
      </c>
      <c r="N84" s="10" t="s">
        <v>103</v>
      </c>
    </row>
    <row r="85" spans="2:14" x14ac:dyDescent="0.25">
      <c r="B85" s="10">
        <v>3965</v>
      </c>
      <c r="C85" s="10" t="s">
        <v>216</v>
      </c>
      <c r="D85" s="43" t="s">
        <v>63</v>
      </c>
      <c r="E85" s="10" t="s">
        <v>156</v>
      </c>
      <c r="F85" s="10" t="s">
        <v>104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 t="s">
        <v>103</v>
      </c>
      <c r="N85" s="10" t="s">
        <v>103</v>
      </c>
    </row>
    <row r="86" spans="2:14" x14ac:dyDescent="0.25">
      <c r="B86" s="10">
        <v>3955</v>
      </c>
      <c r="C86" s="10" t="s">
        <v>217</v>
      </c>
      <c r="D86" s="43" t="s">
        <v>60</v>
      </c>
      <c r="E86" s="10" t="s">
        <v>157</v>
      </c>
      <c r="F86" s="10">
        <v>0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 t="s">
        <v>103</v>
      </c>
      <c r="N86" s="10" t="s">
        <v>103</v>
      </c>
    </row>
    <row r="87" spans="2:14" x14ac:dyDescent="0.25">
      <c r="B87" s="10">
        <v>3953</v>
      </c>
      <c r="C87" s="10" t="s">
        <v>218</v>
      </c>
      <c r="D87" s="43" t="s">
        <v>82</v>
      </c>
      <c r="E87" s="10" t="s">
        <v>152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 t="s">
        <v>103</v>
      </c>
      <c r="N87" s="10" t="s">
        <v>103</v>
      </c>
    </row>
    <row r="88" spans="2:14" x14ac:dyDescent="0.25">
      <c r="B88" s="10">
        <v>3951</v>
      </c>
      <c r="C88" s="10" t="s">
        <v>219</v>
      </c>
      <c r="D88" s="43" t="s">
        <v>109</v>
      </c>
      <c r="E88" s="10" t="s">
        <v>153</v>
      </c>
      <c r="F88" s="10" t="s">
        <v>111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 t="s">
        <v>103</v>
      </c>
      <c r="N88" s="10" t="s">
        <v>103</v>
      </c>
    </row>
    <row r="89" spans="2:14" x14ac:dyDescent="0.25">
      <c r="B89" s="10">
        <v>3949</v>
      </c>
      <c r="C89" s="10" t="s">
        <v>220</v>
      </c>
      <c r="D89" s="43" t="s">
        <v>59</v>
      </c>
      <c r="E89" s="10" t="s">
        <v>154</v>
      </c>
      <c r="F89" s="10">
        <v>0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 t="s">
        <v>103</v>
      </c>
      <c r="N89" s="10" t="s">
        <v>103</v>
      </c>
    </row>
    <row r="90" spans="2:14" x14ac:dyDescent="0.25">
      <c r="B90" s="10">
        <v>3945</v>
      </c>
      <c r="C90" s="10" t="s">
        <v>221</v>
      </c>
      <c r="D90" s="43" t="s">
        <v>63</v>
      </c>
      <c r="E90" s="10" t="s">
        <v>155</v>
      </c>
      <c r="F90" s="10">
        <v>0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  <c r="M90" s="10" t="s">
        <v>103</v>
      </c>
      <c r="N90" s="10" t="s">
        <v>103</v>
      </c>
    </row>
    <row r="91" spans="2:14" x14ac:dyDescent="0.25">
      <c r="B91" s="10">
        <v>3941</v>
      </c>
      <c r="C91" s="10" t="s">
        <v>222</v>
      </c>
      <c r="D91" s="43" t="s">
        <v>60</v>
      </c>
      <c r="E91" s="10" t="s">
        <v>156</v>
      </c>
      <c r="F91" s="10" t="s">
        <v>57</v>
      </c>
      <c r="G91" s="10">
        <v>0</v>
      </c>
      <c r="H91" s="10">
        <v>0</v>
      </c>
      <c r="I91" s="10">
        <v>0</v>
      </c>
      <c r="J91" s="10">
        <v>0</v>
      </c>
      <c r="K91" s="10">
        <v>0</v>
      </c>
      <c r="L91" s="10">
        <v>0</v>
      </c>
      <c r="M91" s="10" t="s">
        <v>103</v>
      </c>
      <c r="N91" s="10" t="s">
        <v>103</v>
      </c>
    </row>
    <row r="92" spans="2:14" x14ac:dyDescent="0.25">
      <c r="B92" s="10">
        <v>3939</v>
      </c>
      <c r="C92" s="10" t="s">
        <v>223</v>
      </c>
      <c r="D92" s="43" t="s">
        <v>82</v>
      </c>
      <c r="E92" s="10" t="s">
        <v>157</v>
      </c>
      <c r="F92" s="10">
        <v>0</v>
      </c>
      <c r="G92" s="10">
        <v>0</v>
      </c>
      <c r="H92" s="10">
        <v>0</v>
      </c>
      <c r="I92" s="10">
        <v>0</v>
      </c>
      <c r="J92" s="10">
        <v>0</v>
      </c>
      <c r="K92" s="10">
        <v>0</v>
      </c>
      <c r="L92" s="10">
        <v>0</v>
      </c>
      <c r="M92" s="10" t="s">
        <v>103</v>
      </c>
      <c r="N92" s="10" t="s">
        <v>103</v>
      </c>
    </row>
    <row r="93" spans="2:14" x14ac:dyDescent="0.25">
      <c r="B93" s="10">
        <v>3935</v>
      </c>
      <c r="C93" s="10" t="s">
        <v>224</v>
      </c>
      <c r="D93" s="43" t="s">
        <v>109</v>
      </c>
      <c r="E93" s="10" t="s">
        <v>152</v>
      </c>
      <c r="F93" s="10">
        <v>0</v>
      </c>
      <c r="G93" s="10">
        <v>0</v>
      </c>
      <c r="H93" s="10">
        <v>0</v>
      </c>
      <c r="I93" s="10">
        <v>0</v>
      </c>
      <c r="J93" s="10">
        <v>0</v>
      </c>
      <c r="K93" s="10">
        <v>0</v>
      </c>
      <c r="L93" s="10">
        <v>0</v>
      </c>
      <c r="M93" s="10" t="s">
        <v>103</v>
      </c>
      <c r="N93" s="10" t="s">
        <v>103</v>
      </c>
    </row>
    <row r="94" spans="2:14" x14ac:dyDescent="0.25">
      <c r="B94" s="10">
        <v>3931</v>
      </c>
      <c r="C94" s="10" t="s">
        <v>225</v>
      </c>
      <c r="D94" s="43" t="s">
        <v>59</v>
      </c>
      <c r="E94" s="10" t="s">
        <v>153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  <c r="M94" s="10" t="s">
        <v>103</v>
      </c>
      <c r="N94" s="10" t="s">
        <v>103</v>
      </c>
    </row>
    <row r="95" spans="2:14" x14ac:dyDescent="0.25">
      <c r="B95" s="10">
        <v>3923</v>
      </c>
      <c r="C95" s="10" t="s">
        <v>226</v>
      </c>
      <c r="D95" s="43" t="s">
        <v>63</v>
      </c>
      <c r="E95" s="10" t="s">
        <v>154</v>
      </c>
      <c r="F95" s="10">
        <v>0</v>
      </c>
      <c r="G95" s="10">
        <v>0</v>
      </c>
      <c r="H95" s="10">
        <v>0</v>
      </c>
      <c r="I95" s="10">
        <v>0</v>
      </c>
      <c r="J95" s="10">
        <v>0</v>
      </c>
      <c r="K95" s="10">
        <v>0</v>
      </c>
      <c r="L95" s="10">
        <v>0</v>
      </c>
      <c r="M95" s="10" t="s">
        <v>103</v>
      </c>
      <c r="N95" s="10" t="s">
        <v>103</v>
      </c>
    </row>
    <row r="96" spans="2:14" x14ac:dyDescent="0.25">
      <c r="B96" s="10">
        <v>3921</v>
      </c>
      <c r="C96" s="10" t="s">
        <v>227</v>
      </c>
      <c r="D96" s="43" t="s">
        <v>60</v>
      </c>
      <c r="E96" s="10" t="s">
        <v>155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 t="s">
        <v>103</v>
      </c>
      <c r="N96" s="10" t="s">
        <v>103</v>
      </c>
    </row>
    <row r="97" spans="2:14" x14ac:dyDescent="0.25">
      <c r="B97" s="10">
        <v>3919</v>
      </c>
      <c r="C97" s="10" t="s">
        <v>228</v>
      </c>
      <c r="D97" s="43" t="s">
        <v>82</v>
      </c>
      <c r="E97" s="10" t="s">
        <v>156</v>
      </c>
      <c r="F97" s="10">
        <v>0</v>
      </c>
      <c r="G97" s="10">
        <v>0</v>
      </c>
      <c r="H97" s="10">
        <v>0</v>
      </c>
      <c r="I97" s="10">
        <v>0</v>
      </c>
      <c r="J97" s="10">
        <v>0</v>
      </c>
      <c r="K97" s="10">
        <v>0</v>
      </c>
      <c r="L97" s="10">
        <v>0</v>
      </c>
      <c r="M97" s="10" t="s">
        <v>103</v>
      </c>
      <c r="N97" s="10" t="s">
        <v>103</v>
      </c>
    </row>
    <row r="98" spans="2:14" x14ac:dyDescent="0.25">
      <c r="B98" s="10">
        <v>3913</v>
      </c>
      <c r="C98" s="10" t="s">
        <v>229</v>
      </c>
      <c r="D98" s="43" t="s">
        <v>109</v>
      </c>
      <c r="E98" s="10" t="s">
        <v>157</v>
      </c>
      <c r="F98" s="10" t="s">
        <v>104</v>
      </c>
      <c r="G98" s="10">
        <v>0</v>
      </c>
      <c r="H98" s="10">
        <v>0</v>
      </c>
      <c r="I98" s="10">
        <v>0</v>
      </c>
      <c r="J98" s="10">
        <v>0</v>
      </c>
      <c r="K98" s="10">
        <v>0</v>
      </c>
      <c r="L98" s="10">
        <v>0</v>
      </c>
      <c r="M98" s="10" t="s">
        <v>103</v>
      </c>
      <c r="N98" s="10" t="s">
        <v>103</v>
      </c>
    </row>
    <row r="99" spans="2:14" x14ac:dyDescent="0.25">
      <c r="B99" s="10">
        <v>3873</v>
      </c>
      <c r="C99" s="10" t="s">
        <v>230</v>
      </c>
      <c r="D99" s="43" t="s">
        <v>59</v>
      </c>
      <c r="E99" s="10" t="s">
        <v>152</v>
      </c>
      <c r="F99" s="10" t="s">
        <v>57</v>
      </c>
      <c r="G99" s="10">
        <v>0</v>
      </c>
      <c r="H99" s="10">
        <v>0</v>
      </c>
      <c r="I99" s="10">
        <v>0</v>
      </c>
      <c r="J99" s="10">
        <v>0</v>
      </c>
      <c r="K99" s="10">
        <v>0</v>
      </c>
      <c r="L99" s="10">
        <v>0</v>
      </c>
      <c r="M99" s="10" t="s">
        <v>103</v>
      </c>
      <c r="N99" s="10" t="s">
        <v>103</v>
      </c>
    </row>
    <row r="100" spans="2:14" x14ac:dyDescent="0.25">
      <c r="B100" s="10">
        <v>3871</v>
      </c>
      <c r="C100" s="10" t="s">
        <v>231</v>
      </c>
      <c r="D100" s="43" t="s">
        <v>63</v>
      </c>
      <c r="E100" s="10" t="s">
        <v>153</v>
      </c>
      <c r="F100" s="10" t="s">
        <v>57</v>
      </c>
      <c r="G100" s="10">
        <v>0</v>
      </c>
      <c r="H100" s="10">
        <v>0</v>
      </c>
      <c r="I100" s="10">
        <v>0</v>
      </c>
      <c r="J100" s="10">
        <v>0</v>
      </c>
      <c r="K100" s="10">
        <v>0</v>
      </c>
      <c r="L100" s="10">
        <v>0</v>
      </c>
      <c r="M100" s="10" t="s">
        <v>103</v>
      </c>
      <c r="N100" s="10" t="s">
        <v>103</v>
      </c>
    </row>
    <row r="101" spans="2:14" x14ac:dyDescent="0.25">
      <c r="B101" s="10">
        <v>3704</v>
      </c>
      <c r="C101" s="10" t="s">
        <v>232</v>
      </c>
      <c r="D101" s="43" t="s">
        <v>60</v>
      </c>
      <c r="E101" s="10" t="s">
        <v>154</v>
      </c>
      <c r="F101" s="10" t="s">
        <v>114</v>
      </c>
      <c r="G101" s="10">
        <v>0</v>
      </c>
      <c r="H101" s="10">
        <v>0</v>
      </c>
      <c r="I101" s="10">
        <v>0</v>
      </c>
      <c r="J101" s="10">
        <v>0</v>
      </c>
      <c r="K101" s="10">
        <v>0</v>
      </c>
      <c r="L101" s="10">
        <v>0</v>
      </c>
      <c r="M101" s="10" t="s">
        <v>103</v>
      </c>
      <c r="N101" s="10" t="s">
        <v>103</v>
      </c>
    </row>
    <row r="102" spans="2:14" x14ac:dyDescent="0.25">
      <c r="B102" s="10">
        <v>3678</v>
      </c>
      <c r="C102" s="10" t="s">
        <v>233</v>
      </c>
      <c r="D102" s="43" t="s">
        <v>82</v>
      </c>
      <c r="E102" s="10" t="s">
        <v>155</v>
      </c>
      <c r="F102" s="10" t="s">
        <v>113</v>
      </c>
      <c r="G102" s="10">
        <v>0</v>
      </c>
      <c r="H102" s="10">
        <v>0</v>
      </c>
      <c r="I102" s="10">
        <v>0</v>
      </c>
      <c r="J102" s="10">
        <v>0</v>
      </c>
      <c r="K102" s="10">
        <v>0</v>
      </c>
      <c r="L102" s="10">
        <v>0</v>
      </c>
      <c r="M102" s="10" t="s">
        <v>103</v>
      </c>
      <c r="N102" s="10" t="s">
        <v>103</v>
      </c>
    </row>
    <row r="103" spans="2:14" x14ac:dyDescent="0.25">
      <c r="B103" s="10">
        <v>3636</v>
      </c>
      <c r="C103" s="10" t="s">
        <v>234</v>
      </c>
      <c r="D103" s="43" t="s">
        <v>109</v>
      </c>
      <c r="E103" s="10" t="s">
        <v>156</v>
      </c>
      <c r="F103" s="10" t="s">
        <v>111</v>
      </c>
      <c r="G103" s="10">
        <v>0</v>
      </c>
      <c r="H103" s="10">
        <v>0</v>
      </c>
      <c r="I103" s="10">
        <v>0</v>
      </c>
      <c r="J103" s="10">
        <v>0</v>
      </c>
      <c r="K103" s="10">
        <v>0</v>
      </c>
      <c r="L103" s="10">
        <v>0</v>
      </c>
      <c r="M103" s="10" t="s">
        <v>103</v>
      </c>
      <c r="N103" s="10" t="s">
        <v>103</v>
      </c>
    </row>
    <row r="104" spans="2:14" x14ac:dyDescent="0.25">
      <c r="B104" s="10">
        <v>3634</v>
      </c>
      <c r="C104" s="10" t="s">
        <v>235</v>
      </c>
      <c r="D104" s="43" t="s">
        <v>59</v>
      </c>
      <c r="E104" s="10" t="s">
        <v>157</v>
      </c>
      <c r="F104" s="10" t="s">
        <v>111</v>
      </c>
      <c r="G104" s="10">
        <v>0</v>
      </c>
      <c r="H104" s="10">
        <v>0</v>
      </c>
      <c r="I104" s="10">
        <v>0</v>
      </c>
      <c r="J104" s="10">
        <v>0</v>
      </c>
      <c r="K104" s="10">
        <v>0</v>
      </c>
      <c r="L104" s="10">
        <v>0</v>
      </c>
      <c r="M104" s="10" t="s">
        <v>103</v>
      </c>
      <c r="N104" s="10" t="s">
        <v>103</v>
      </c>
    </row>
    <row r="105" spans="2:14" x14ac:dyDescent="0.25">
      <c r="B105" s="10">
        <v>3584</v>
      </c>
      <c r="C105" s="10" t="s">
        <v>236</v>
      </c>
      <c r="D105" s="43" t="s">
        <v>63</v>
      </c>
      <c r="E105" s="10" t="s">
        <v>152</v>
      </c>
      <c r="F105" s="10" t="s">
        <v>112</v>
      </c>
      <c r="G105" s="10">
        <v>0</v>
      </c>
      <c r="H105" s="10">
        <v>0</v>
      </c>
      <c r="I105" s="10">
        <v>0</v>
      </c>
      <c r="J105" s="10">
        <v>0</v>
      </c>
      <c r="K105" s="10">
        <v>0</v>
      </c>
      <c r="L105" s="10">
        <v>0</v>
      </c>
      <c r="M105" s="10" t="s">
        <v>103</v>
      </c>
      <c r="N105" s="10" t="s">
        <v>103</v>
      </c>
    </row>
    <row r="106" spans="2:14" x14ac:dyDescent="0.25">
      <c r="B106" s="10">
        <v>3550</v>
      </c>
      <c r="C106" s="10" t="s">
        <v>237</v>
      </c>
      <c r="D106" s="43" t="s">
        <v>60</v>
      </c>
      <c r="E106" s="10" t="s">
        <v>153</v>
      </c>
      <c r="F106" s="10" t="s">
        <v>104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 t="s">
        <v>103</v>
      </c>
      <c r="N106" s="10" t="s">
        <v>103</v>
      </c>
    </row>
    <row r="107" spans="2:14" x14ac:dyDescent="0.25">
      <c r="B107" s="10">
        <v>3324</v>
      </c>
      <c r="C107" s="10" t="s">
        <v>238</v>
      </c>
      <c r="D107" s="43" t="s">
        <v>82</v>
      </c>
      <c r="E107" s="10" t="s">
        <v>154</v>
      </c>
      <c r="F107" s="10" t="s">
        <v>111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 t="s">
        <v>103</v>
      </c>
      <c r="N107" s="10" t="s">
        <v>103</v>
      </c>
    </row>
    <row r="108" spans="2:14" x14ac:dyDescent="0.25">
      <c r="B108" s="10">
        <v>3204</v>
      </c>
      <c r="C108" s="10" t="s">
        <v>239</v>
      </c>
      <c r="D108" s="43" t="s">
        <v>109</v>
      </c>
      <c r="E108" s="10" t="s">
        <v>155</v>
      </c>
      <c r="F108" s="10" t="s">
        <v>111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 t="s">
        <v>103</v>
      </c>
      <c r="N108" s="10" t="s">
        <v>103</v>
      </c>
    </row>
    <row r="109" spans="2:14" x14ac:dyDescent="0.25">
      <c r="B109" s="10">
        <v>3108</v>
      </c>
      <c r="C109" s="10" t="s">
        <v>240</v>
      </c>
      <c r="D109" s="43" t="s">
        <v>59</v>
      </c>
      <c r="E109" s="10" t="s">
        <v>156</v>
      </c>
      <c r="F109" s="10" t="s">
        <v>81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 t="s">
        <v>103</v>
      </c>
      <c r="N109" s="10" t="s">
        <v>103</v>
      </c>
    </row>
    <row r="110" spans="2:14" x14ac:dyDescent="0.25">
      <c r="B110" s="10">
        <v>2654</v>
      </c>
      <c r="C110" s="10" t="s">
        <v>241</v>
      </c>
      <c r="D110" s="43" t="s">
        <v>63</v>
      </c>
      <c r="E110" s="10" t="s">
        <v>157</v>
      </c>
      <c r="F110" s="10" t="s">
        <v>112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  <c r="M110" s="10" t="s">
        <v>103</v>
      </c>
      <c r="N110" s="10" t="s">
        <v>103</v>
      </c>
    </row>
    <row r="111" spans="2:14" x14ac:dyDescent="0.25">
      <c r="B111" s="10">
        <v>1996</v>
      </c>
      <c r="C111" s="10" t="s">
        <v>242</v>
      </c>
      <c r="D111" s="43" t="s">
        <v>60</v>
      </c>
      <c r="E111" s="10" t="s">
        <v>152</v>
      </c>
      <c r="F111" s="10" t="s">
        <v>111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 t="s">
        <v>103</v>
      </c>
      <c r="N111" s="10" t="s">
        <v>103</v>
      </c>
    </row>
    <row r="112" spans="2:14" x14ac:dyDescent="0.25">
      <c r="B112" s="10">
        <v>1898</v>
      </c>
      <c r="C112" s="10" t="s">
        <v>243</v>
      </c>
      <c r="D112" s="43" t="s">
        <v>82</v>
      </c>
      <c r="E112" s="10" t="s">
        <v>153</v>
      </c>
      <c r="F112" s="10" t="s">
        <v>111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 t="s">
        <v>103</v>
      </c>
      <c r="N112" s="10" t="s">
        <v>103</v>
      </c>
    </row>
    <row r="113" spans="2:14" x14ac:dyDescent="0.25">
      <c r="B113" s="10">
        <v>1482</v>
      </c>
      <c r="C113" s="10" t="s">
        <v>244</v>
      </c>
      <c r="D113" s="43" t="s">
        <v>109</v>
      </c>
      <c r="E113" s="10" t="s">
        <v>154</v>
      </c>
      <c r="F113" s="10" t="s">
        <v>111</v>
      </c>
      <c r="G113" s="10">
        <v>0</v>
      </c>
      <c r="H113" s="10">
        <v>0</v>
      </c>
      <c r="I113" s="10">
        <v>0</v>
      </c>
      <c r="J113" s="10">
        <v>0</v>
      </c>
      <c r="K113" s="10">
        <v>0</v>
      </c>
      <c r="L113" s="10">
        <v>0</v>
      </c>
      <c r="M113" s="10" t="s">
        <v>103</v>
      </c>
      <c r="N113" s="10" t="s">
        <v>103</v>
      </c>
    </row>
    <row r="114" spans="2:14" x14ac:dyDescent="0.25">
      <c r="B114" s="10">
        <v>1192</v>
      </c>
      <c r="C114" s="10" t="s">
        <v>245</v>
      </c>
      <c r="D114" s="43" t="s">
        <v>59</v>
      </c>
      <c r="E114" s="10" t="s">
        <v>155</v>
      </c>
      <c r="F114" s="10" t="s">
        <v>111</v>
      </c>
      <c r="G114" s="10">
        <v>0</v>
      </c>
      <c r="H114" s="10">
        <v>0</v>
      </c>
      <c r="I114" s="10">
        <v>0</v>
      </c>
      <c r="J114" s="10">
        <v>0</v>
      </c>
      <c r="K114" s="10">
        <v>0</v>
      </c>
      <c r="L114" s="10">
        <v>0</v>
      </c>
      <c r="M114" s="10" t="s">
        <v>103</v>
      </c>
      <c r="N114" s="10" t="s">
        <v>103</v>
      </c>
    </row>
    <row r="115" spans="2:14" x14ac:dyDescent="0.25">
      <c r="B115" s="10">
        <v>900</v>
      </c>
      <c r="C115" s="10" t="s">
        <v>246</v>
      </c>
      <c r="D115" s="43" t="s">
        <v>63</v>
      </c>
      <c r="E115" s="10" t="s">
        <v>156</v>
      </c>
      <c r="F115" s="10" t="s">
        <v>111</v>
      </c>
      <c r="G115" s="10">
        <v>0</v>
      </c>
      <c r="H115" s="10">
        <v>0</v>
      </c>
      <c r="I115" s="10">
        <v>0</v>
      </c>
      <c r="J115" s="10">
        <v>0</v>
      </c>
      <c r="K115" s="10">
        <v>0</v>
      </c>
      <c r="L115" s="10">
        <v>0</v>
      </c>
      <c r="M115" s="10" t="s">
        <v>103</v>
      </c>
      <c r="N115" s="10" t="s">
        <v>103</v>
      </c>
    </row>
  </sheetData>
  <mergeCells count="1">
    <mergeCell ref="B2:N3"/>
  </mergeCells>
  <phoneticPr fontId="2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4">
    <tabColor rgb="FF35BEE9"/>
  </sheetPr>
  <dimension ref="B1:S97"/>
  <sheetViews>
    <sheetView showGridLines="0" zoomScale="90" zoomScaleNormal="90" workbookViewId="0">
      <pane ySplit="7" topLeftCell="A8" activePane="bottomLeft" state="frozen"/>
      <selection activeCell="C5" sqref="C5:C6"/>
      <selection pane="bottomLeft" activeCell="C28" sqref="C28"/>
    </sheetView>
  </sheetViews>
  <sheetFormatPr defaultColWidth="9.140625" defaultRowHeight="15" x14ac:dyDescent="0.25"/>
  <cols>
    <col min="1" max="1" width="2.7109375" style="1" customWidth="1"/>
    <col min="2" max="2" width="10" customWidth="1"/>
    <col min="3" max="3" width="64.85546875" customWidth="1"/>
    <col min="4" max="5" width="22.42578125" bestFit="1" customWidth="1"/>
    <col min="6" max="6" width="16.28515625" bestFit="1" customWidth="1"/>
    <col min="7" max="7" width="17" bestFit="1" customWidth="1"/>
    <col min="8" max="8" width="14.7109375" bestFit="1" customWidth="1"/>
    <col min="9" max="9" width="16.7109375" style="16" customWidth="1"/>
    <col min="10" max="10" width="20.5703125" style="1" customWidth="1"/>
    <col min="11" max="11" width="20.7109375" style="1" customWidth="1"/>
    <col min="12" max="243" width="20.5703125" style="1" customWidth="1"/>
    <col min="244" max="16384" width="9.140625" style="1"/>
  </cols>
  <sheetData>
    <row r="1" spans="2:19" hidden="1" x14ac:dyDescent="0.25">
      <c r="B1" s="10"/>
      <c r="C1" s="10"/>
      <c r="D1" s="10"/>
      <c r="E1" s="10"/>
      <c r="F1" s="29"/>
      <c r="G1" s="10"/>
      <c r="H1" s="12"/>
      <c r="I1" s="12"/>
      <c r="J1" s="10"/>
      <c r="K1" s="10"/>
    </row>
    <row r="2" spans="2:19" ht="31.5" customHeight="1" x14ac:dyDescent="0.25">
      <c r="B2" s="44" t="s">
        <v>21</v>
      </c>
      <c r="C2" s="44"/>
      <c r="D2" s="44"/>
      <c r="E2" s="44"/>
      <c r="F2" s="44"/>
      <c r="G2" s="44"/>
      <c r="H2" s="44"/>
      <c r="I2" s="44"/>
      <c r="J2" s="44"/>
      <c r="K2" s="44"/>
    </row>
    <row r="3" spans="2:19" ht="6.75" customHeight="1" x14ac:dyDescent="0.25">
      <c r="B3" s="2"/>
      <c r="C3" s="3"/>
      <c r="D3" s="3"/>
      <c r="E3" s="2"/>
      <c r="F3" s="18"/>
      <c r="G3" s="8"/>
      <c r="H3" s="16"/>
    </row>
    <row r="4" spans="2:19" ht="15.75" x14ac:dyDescent="0.25">
      <c r="B4" s="7" t="s">
        <v>15</v>
      </c>
      <c r="C4" s="5" t="s">
        <v>41</v>
      </c>
      <c r="D4" s="1"/>
      <c r="E4" s="2"/>
      <c r="F4" s="18"/>
      <c r="G4" s="8"/>
      <c r="H4" s="16"/>
    </row>
    <row r="5" spans="2:19" ht="15.75" x14ac:dyDescent="0.25">
      <c r="B5" s="7" t="s">
        <v>16</v>
      </c>
      <c r="C5" s="5" t="s">
        <v>127</v>
      </c>
      <c r="D5" s="1"/>
      <c r="E5" s="2"/>
      <c r="F5" s="18"/>
      <c r="G5" s="8"/>
      <c r="H5" s="16"/>
    </row>
    <row r="6" spans="2:19" ht="15.75" x14ac:dyDescent="0.25">
      <c r="B6" s="7" t="s">
        <v>17</v>
      </c>
      <c r="C6" s="6">
        <v>44014.492418981485</v>
      </c>
      <c r="D6" s="1"/>
      <c r="E6" s="2"/>
      <c r="F6" s="18"/>
      <c r="G6" s="8"/>
      <c r="H6" s="16"/>
    </row>
    <row r="7" spans="2:19" x14ac:dyDescent="0.25">
      <c r="B7" s="1"/>
      <c r="C7" s="1"/>
      <c r="D7" s="1"/>
      <c r="E7" s="1"/>
      <c r="F7" s="18"/>
      <c r="G7" s="8"/>
      <c r="H7" s="16"/>
    </row>
    <row r="8" spans="2:19" x14ac:dyDescent="0.25">
      <c r="B8" s="14" t="s">
        <v>0</v>
      </c>
      <c r="C8" s="14" t="s">
        <v>1</v>
      </c>
      <c r="D8" s="14" t="s">
        <v>2</v>
      </c>
      <c r="E8" s="14" t="s">
        <v>3</v>
      </c>
      <c r="F8" s="19" t="s">
        <v>40</v>
      </c>
      <c r="G8" s="14" t="s">
        <v>6</v>
      </c>
      <c r="H8" s="17" t="s">
        <v>7</v>
      </c>
      <c r="I8" s="17" t="s">
        <v>12</v>
      </c>
      <c r="J8" s="14" t="s">
        <v>10</v>
      </c>
      <c r="K8" s="14" t="s">
        <v>8</v>
      </c>
    </row>
    <row r="9" spans="2:19" x14ac:dyDescent="0.25">
      <c r="B9" s="10">
        <v>4364</v>
      </c>
      <c r="C9" s="10" t="s">
        <v>129</v>
      </c>
      <c r="D9" s="10" t="s">
        <v>58</v>
      </c>
      <c r="E9" s="10" t="s">
        <v>59</v>
      </c>
      <c r="F9" s="29"/>
      <c r="G9" s="10" t="s">
        <v>152</v>
      </c>
      <c r="H9" s="12">
        <v>44014.376469907409</v>
      </c>
      <c r="I9" s="12"/>
      <c r="J9" s="10" t="s">
        <v>50</v>
      </c>
      <c r="K9" s="10"/>
      <c r="L9"/>
      <c r="M9"/>
      <c r="N9"/>
      <c r="O9"/>
      <c r="P9"/>
      <c r="Q9"/>
      <c r="R9"/>
      <c r="S9"/>
    </row>
    <row r="10" spans="2:19" x14ac:dyDescent="0.25">
      <c r="B10" s="10">
        <v>4362</v>
      </c>
      <c r="C10" s="10" t="s">
        <v>130</v>
      </c>
      <c r="D10" s="10" t="s">
        <v>58</v>
      </c>
      <c r="E10" s="10" t="s">
        <v>59</v>
      </c>
      <c r="F10" s="29"/>
      <c r="G10" s="10" t="s">
        <v>153</v>
      </c>
      <c r="H10" s="12">
        <v>44014.376342592594</v>
      </c>
      <c r="I10" s="12"/>
      <c r="J10" s="10" t="s">
        <v>50</v>
      </c>
      <c r="K10" s="10"/>
      <c r="L10"/>
      <c r="M10"/>
      <c r="N10"/>
      <c r="O10"/>
      <c r="P10"/>
      <c r="Q10"/>
      <c r="R10"/>
      <c r="S10"/>
    </row>
    <row r="11" spans="2:19" x14ac:dyDescent="0.25">
      <c r="B11" s="10">
        <v>4360</v>
      </c>
      <c r="C11" s="10" t="s">
        <v>131</v>
      </c>
      <c r="D11" s="10" t="s">
        <v>58</v>
      </c>
      <c r="E11" s="10" t="s">
        <v>59</v>
      </c>
      <c r="F11" s="29"/>
      <c r="G11" s="10" t="s">
        <v>154</v>
      </c>
      <c r="H11" s="12">
        <v>44014.376215277778</v>
      </c>
      <c r="I11" s="12"/>
      <c r="J11" s="10" t="s">
        <v>50</v>
      </c>
      <c r="K11" s="10"/>
      <c r="L11"/>
      <c r="M11"/>
      <c r="N11"/>
      <c r="O11"/>
      <c r="P11"/>
      <c r="Q11"/>
      <c r="R11"/>
      <c r="S11"/>
    </row>
    <row r="12" spans="2:19" x14ac:dyDescent="0.25">
      <c r="B12" s="10">
        <v>4358</v>
      </c>
      <c r="C12" s="10" t="s">
        <v>132</v>
      </c>
      <c r="D12" s="10" t="s">
        <v>58</v>
      </c>
      <c r="E12" s="10" t="s">
        <v>59</v>
      </c>
      <c r="F12" s="29"/>
      <c r="G12" s="10" t="s">
        <v>155</v>
      </c>
      <c r="H12" s="12">
        <v>44014.376099537039</v>
      </c>
      <c r="I12" s="12"/>
      <c r="J12" s="10" t="s">
        <v>50</v>
      </c>
      <c r="K12" s="10"/>
      <c r="L12"/>
      <c r="M12"/>
      <c r="N12"/>
      <c r="O12"/>
      <c r="P12"/>
      <c r="Q12"/>
      <c r="R12"/>
      <c r="S12"/>
    </row>
    <row r="13" spans="2:19" x14ac:dyDescent="0.25">
      <c r="B13" s="10">
        <v>4356</v>
      </c>
      <c r="C13" s="10" t="s">
        <v>133</v>
      </c>
      <c r="D13" s="10" t="s">
        <v>58</v>
      </c>
      <c r="E13" s="10" t="s">
        <v>59</v>
      </c>
      <c r="F13" s="29"/>
      <c r="G13" s="10" t="s">
        <v>156</v>
      </c>
      <c r="H13" s="12">
        <v>44014.375821759262</v>
      </c>
      <c r="I13" s="12"/>
      <c r="J13" s="10" t="s">
        <v>50</v>
      </c>
      <c r="K13" s="10"/>
      <c r="L13"/>
      <c r="M13"/>
      <c r="N13"/>
      <c r="O13"/>
      <c r="P13"/>
      <c r="Q13"/>
      <c r="R13"/>
      <c r="S13"/>
    </row>
    <row r="14" spans="2:19" x14ac:dyDescent="0.25">
      <c r="B14" s="10">
        <v>4354</v>
      </c>
      <c r="C14" s="10" t="s">
        <v>134</v>
      </c>
      <c r="D14" s="10" t="s">
        <v>58</v>
      </c>
      <c r="E14" s="10" t="s">
        <v>59</v>
      </c>
      <c r="F14" s="29"/>
      <c r="G14" s="10" t="s">
        <v>157</v>
      </c>
      <c r="H14" s="12">
        <v>44014.375601851854</v>
      </c>
      <c r="I14" s="12"/>
      <c r="J14" s="10" t="s">
        <v>50</v>
      </c>
      <c r="K14" s="10"/>
      <c r="L14"/>
      <c r="M14"/>
      <c r="N14"/>
      <c r="O14"/>
      <c r="P14"/>
      <c r="Q14"/>
      <c r="R14"/>
      <c r="S14"/>
    </row>
    <row r="15" spans="2:19" x14ac:dyDescent="0.25">
      <c r="B15" s="10">
        <v>4348</v>
      </c>
      <c r="C15" s="10" t="s">
        <v>135</v>
      </c>
      <c r="D15" s="10" t="s">
        <v>58</v>
      </c>
      <c r="E15" s="10" t="s">
        <v>59</v>
      </c>
      <c r="F15" s="29"/>
      <c r="G15" s="10" t="s">
        <v>152</v>
      </c>
      <c r="H15" s="12">
        <v>44013.641712962963</v>
      </c>
      <c r="I15" s="12"/>
      <c r="J15" s="10" t="s">
        <v>49</v>
      </c>
      <c r="K15" s="10"/>
      <c r="L15"/>
      <c r="M15"/>
      <c r="N15"/>
      <c r="O15"/>
      <c r="P15"/>
      <c r="Q15"/>
      <c r="R15"/>
      <c r="S15"/>
    </row>
    <row r="16" spans="2:19" x14ac:dyDescent="0.25">
      <c r="B16" s="10">
        <v>4336</v>
      </c>
      <c r="C16" s="10" t="s">
        <v>136</v>
      </c>
      <c r="D16" s="10" t="s">
        <v>58</v>
      </c>
      <c r="E16" s="10" t="s">
        <v>59</v>
      </c>
      <c r="F16" s="29"/>
      <c r="G16" s="10" t="s">
        <v>153</v>
      </c>
      <c r="H16" s="12">
        <v>44012.597685185188</v>
      </c>
      <c r="I16" s="12"/>
      <c r="J16" s="10" t="s">
        <v>48</v>
      </c>
      <c r="K16" s="10" t="s">
        <v>118</v>
      </c>
      <c r="L16"/>
      <c r="M16"/>
      <c r="N16"/>
      <c r="O16"/>
      <c r="P16"/>
      <c r="Q16"/>
      <c r="R16"/>
      <c r="S16"/>
    </row>
    <row r="17" spans="2:19" x14ac:dyDescent="0.25">
      <c r="B17" s="10">
        <v>4334</v>
      </c>
      <c r="C17" s="10" t="s">
        <v>137</v>
      </c>
      <c r="D17" s="10" t="s">
        <v>58</v>
      </c>
      <c r="E17" s="10" t="s">
        <v>59</v>
      </c>
      <c r="F17" s="29"/>
      <c r="G17" s="10" t="s">
        <v>154</v>
      </c>
      <c r="H17" s="12">
        <v>44012.560277777775</v>
      </c>
      <c r="I17" s="12"/>
      <c r="J17" s="10" t="s">
        <v>86</v>
      </c>
      <c r="K17" s="10" t="s">
        <v>77</v>
      </c>
      <c r="L17"/>
      <c r="M17"/>
      <c r="N17"/>
      <c r="O17"/>
      <c r="P17"/>
      <c r="Q17"/>
      <c r="R17"/>
      <c r="S17"/>
    </row>
    <row r="18" spans="2:19" x14ac:dyDescent="0.25">
      <c r="B18" s="10">
        <v>4290</v>
      </c>
      <c r="C18" s="10" t="s">
        <v>138</v>
      </c>
      <c r="D18" s="10" t="s">
        <v>58</v>
      </c>
      <c r="E18" s="10" t="s">
        <v>59</v>
      </c>
      <c r="F18" s="29"/>
      <c r="G18" s="10" t="s">
        <v>155</v>
      </c>
      <c r="H18" s="12">
        <v>44000.415381944447</v>
      </c>
      <c r="I18" s="12"/>
      <c r="J18" s="10" t="s">
        <v>49</v>
      </c>
      <c r="K18" s="10" t="s">
        <v>52</v>
      </c>
      <c r="L18"/>
      <c r="M18"/>
      <c r="N18"/>
      <c r="O18"/>
      <c r="P18"/>
      <c r="Q18"/>
      <c r="R18"/>
      <c r="S18"/>
    </row>
    <row r="19" spans="2:19" x14ac:dyDescent="0.25">
      <c r="B19" s="10">
        <v>4211</v>
      </c>
      <c r="C19" s="10" t="s">
        <v>139</v>
      </c>
      <c r="D19" s="10" t="s">
        <v>58</v>
      </c>
      <c r="E19" s="10" t="s">
        <v>59</v>
      </c>
      <c r="F19" s="29"/>
      <c r="G19" s="10" t="s">
        <v>156</v>
      </c>
      <c r="H19" s="12">
        <v>43979.432986111111</v>
      </c>
      <c r="I19" s="12"/>
      <c r="J19" s="10" t="s">
        <v>86</v>
      </c>
      <c r="K19" s="10" t="s">
        <v>85</v>
      </c>
      <c r="L19"/>
      <c r="M19"/>
      <c r="N19"/>
      <c r="O19"/>
      <c r="P19"/>
      <c r="Q19"/>
      <c r="R19"/>
      <c r="S19"/>
    </row>
    <row r="20" spans="2:19" x14ac:dyDescent="0.25">
      <c r="B20" s="10">
        <v>4173</v>
      </c>
      <c r="C20" s="10" t="s">
        <v>140</v>
      </c>
      <c r="D20" s="10" t="s">
        <v>58</v>
      </c>
      <c r="E20" s="10" t="s">
        <v>59</v>
      </c>
      <c r="F20" s="29"/>
      <c r="G20" s="10" t="s">
        <v>157</v>
      </c>
      <c r="H20" s="12">
        <v>43972.486944444441</v>
      </c>
      <c r="I20" s="12"/>
      <c r="J20" s="10" t="s">
        <v>86</v>
      </c>
      <c r="K20" s="10" t="s">
        <v>85</v>
      </c>
      <c r="L20"/>
      <c r="M20"/>
      <c r="N20"/>
      <c r="O20"/>
      <c r="P20"/>
      <c r="Q20"/>
      <c r="R20"/>
      <c r="S20"/>
    </row>
    <row r="21" spans="2:19" x14ac:dyDescent="0.25">
      <c r="B21" s="10">
        <v>4127</v>
      </c>
      <c r="C21" s="10" t="s">
        <v>141</v>
      </c>
      <c r="D21" s="10" t="s">
        <v>58</v>
      </c>
      <c r="E21" s="10" t="s">
        <v>59</v>
      </c>
      <c r="F21" s="29"/>
      <c r="G21" s="10" t="s">
        <v>152</v>
      </c>
      <c r="H21" s="12">
        <v>43962.490300925929</v>
      </c>
      <c r="I21" s="12"/>
      <c r="J21" s="10" t="s">
        <v>86</v>
      </c>
      <c r="K21" s="10" t="s">
        <v>85</v>
      </c>
      <c r="L21"/>
      <c r="M21"/>
      <c r="N21"/>
      <c r="O21"/>
      <c r="P21"/>
      <c r="Q21"/>
      <c r="R21"/>
      <c r="S21"/>
    </row>
    <row r="22" spans="2:19" x14ac:dyDescent="0.25">
      <c r="B22" s="10">
        <v>4103</v>
      </c>
      <c r="C22" s="10" t="s">
        <v>142</v>
      </c>
      <c r="D22" s="10" t="s">
        <v>58</v>
      </c>
      <c r="E22" s="10" t="s">
        <v>59</v>
      </c>
      <c r="F22" s="29"/>
      <c r="G22" s="10" t="s">
        <v>153</v>
      </c>
      <c r="H22" s="12">
        <v>43956.635254629633</v>
      </c>
      <c r="I22" s="12"/>
      <c r="J22" s="10" t="s">
        <v>9</v>
      </c>
      <c r="K22" s="10" t="s">
        <v>52</v>
      </c>
      <c r="L22"/>
      <c r="M22"/>
      <c r="N22"/>
      <c r="O22"/>
      <c r="P22"/>
      <c r="Q22"/>
      <c r="R22"/>
      <c r="S22"/>
    </row>
    <row r="23" spans="2:19" x14ac:dyDescent="0.25">
      <c r="B23" s="10">
        <v>4081</v>
      </c>
      <c r="C23" s="10" t="s">
        <v>143</v>
      </c>
      <c r="D23" s="10" t="s">
        <v>58</v>
      </c>
      <c r="E23" s="10" t="s">
        <v>59</v>
      </c>
      <c r="F23" s="29"/>
      <c r="G23" s="10" t="s">
        <v>154</v>
      </c>
      <c r="H23" s="12">
        <v>43950.445706018516</v>
      </c>
      <c r="I23" s="12"/>
      <c r="J23" s="10" t="s">
        <v>86</v>
      </c>
      <c r="K23" s="10" t="s">
        <v>85</v>
      </c>
      <c r="L23"/>
      <c r="M23"/>
      <c r="N23"/>
      <c r="O23"/>
      <c r="P23"/>
      <c r="Q23"/>
      <c r="R23"/>
      <c r="S23"/>
    </row>
    <row r="24" spans="2:19" x14ac:dyDescent="0.25">
      <c r="B24" s="10">
        <v>4075</v>
      </c>
      <c r="C24" s="10" t="s">
        <v>144</v>
      </c>
      <c r="D24" s="10" t="s">
        <v>58</v>
      </c>
      <c r="E24" s="10" t="s">
        <v>60</v>
      </c>
      <c r="F24" s="29">
        <v>0.4</v>
      </c>
      <c r="G24" s="10" t="s">
        <v>155</v>
      </c>
      <c r="H24" s="12">
        <v>43948.613935185182</v>
      </c>
      <c r="I24" s="12"/>
      <c r="J24" s="10" t="s">
        <v>107</v>
      </c>
      <c r="K24" s="10" t="s">
        <v>57</v>
      </c>
      <c r="L24"/>
      <c r="M24"/>
      <c r="N24"/>
      <c r="O24"/>
      <c r="P24"/>
      <c r="Q24"/>
      <c r="R24"/>
      <c r="S24"/>
    </row>
    <row r="25" spans="2:19" x14ac:dyDescent="0.25">
      <c r="B25" s="10">
        <v>4039</v>
      </c>
      <c r="C25" s="10" t="s">
        <v>145</v>
      </c>
      <c r="D25" s="10" t="s">
        <v>58</v>
      </c>
      <c r="E25" s="10" t="s">
        <v>59</v>
      </c>
      <c r="F25" s="29"/>
      <c r="G25" s="10" t="s">
        <v>156</v>
      </c>
      <c r="H25" s="12">
        <v>43938.655775462961</v>
      </c>
      <c r="I25" s="12"/>
      <c r="J25" s="10" t="s">
        <v>9</v>
      </c>
      <c r="K25" s="10" t="s">
        <v>55</v>
      </c>
      <c r="L25"/>
      <c r="M25"/>
      <c r="N25"/>
      <c r="O25"/>
      <c r="P25"/>
      <c r="Q25"/>
      <c r="R25"/>
      <c r="S25"/>
    </row>
    <row r="26" spans="2:19" x14ac:dyDescent="0.25">
      <c r="B26" s="10">
        <v>4035</v>
      </c>
      <c r="C26" s="10" t="s">
        <v>146</v>
      </c>
      <c r="D26" s="10" t="s">
        <v>58</v>
      </c>
      <c r="E26" s="10" t="s">
        <v>59</v>
      </c>
      <c r="F26" s="29"/>
      <c r="G26" s="10" t="s">
        <v>157</v>
      </c>
      <c r="H26" s="12">
        <v>43938.387395833335</v>
      </c>
      <c r="I26" s="12"/>
      <c r="J26" s="10" t="s">
        <v>86</v>
      </c>
      <c r="K26" s="10" t="s">
        <v>55</v>
      </c>
      <c r="L26"/>
      <c r="M26"/>
      <c r="N26"/>
      <c r="O26"/>
      <c r="P26"/>
      <c r="Q26"/>
      <c r="R26"/>
      <c r="S26"/>
    </row>
    <row r="27" spans="2:19" x14ac:dyDescent="0.25">
      <c r="B27" s="10">
        <v>4019</v>
      </c>
      <c r="C27" s="10" t="s">
        <v>147</v>
      </c>
      <c r="D27" s="10" t="s">
        <v>58</v>
      </c>
      <c r="E27" s="10" t="s">
        <v>59</v>
      </c>
      <c r="F27" s="29"/>
      <c r="G27" s="10" t="s">
        <v>152</v>
      </c>
      <c r="H27" s="12">
        <v>43934.494976851849</v>
      </c>
      <c r="I27" s="12"/>
      <c r="J27" s="10" t="s">
        <v>107</v>
      </c>
      <c r="K27" s="10" t="s">
        <v>55</v>
      </c>
      <c r="L27"/>
      <c r="M27"/>
      <c r="N27"/>
      <c r="O27"/>
      <c r="P27"/>
      <c r="Q27"/>
      <c r="R27"/>
      <c r="S27"/>
    </row>
    <row r="28" spans="2:19" x14ac:dyDescent="0.25">
      <c r="B28" s="10">
        <v>4011</v>
      </c>
      <c r="C28" s="10" t="s">
        <v>148</v>
      </c>
      <c r="D28" s="10" t="s">
        <v>58</v>
      </c>
      <c r="E28" s="10" t="s">
        <v>59</v>
      </c>
      <c r="F28" s="29"/>
      <c r="G28" s="10" t="s">
        <v>153</v>
      </c>
      <c r="H28" s="12">
        <v>43930.646296296298</v>
      </c>
      <c r="I28" s="12"/>
      <c r="J28" s="10" t="s">
        <v>9</v>
      </c>
      <c r="K28" s="10" t="s">
        <v>51</v>
      </c>
      <c r="L28"/>
      <c r="M28"/>
      <c r="N28"/>
      <c r="O28"/>
      <c r="P28"/>
      <c r="Q28"/>
      <c r="R28"/>
      <c r="S28"/>
    </row>
    <row r="29" spans="2:19" x14ac:dyDescent="0.25">
      <c r="B29" s="10">
        <v>3999</v>
      </c>
      <c r="C29" s="10" t="s">
        <v>149</v>
      </c>
      <c r="D29" s="10" t="s">
        <v>58</v>
      </c>
      <c r="E29" s="10" t="s">
        <v>59</v>
      </c>
      <c r="F29" s="29"/>
      <c r="G29" s="10" t="s">
        <v>154</v>
      </c>
      <c r="H29" s="12">
        <v>43929.453715277778</v>
      </c>
      <c r="I29" s="12"/>
      <c r="J29" s="10"/>
      <c r="K29" s="10"/>
      <c r="L29"/>
      <c r="M29"/>
      <c r="N29"/>
      <c r="O29"/>
      <c r="P29"/>
      <c r="Q29"/>
      <c r="R29"/>
      <c r="S29"/>
    </row>
    <row r="30" spans="2:19" x14ac:dyDescent="0.25">
      <c r="B30" s="10">
        <v>3983</v>
      </c>
      <c r="C30" s="10" t="s">
        <v>150</v>
      </c>
      <c r="D30" s="10" t="s">
        <v>58</v>
      </c>
      <c r="E30" s="10" t="s">
        <v>59</v>
      </c>
      <c r="F30" s="29"/>
      <c r="G30" s="10" t="s">
        <v>155</v>
      </c>
      <c r="H30" s="12">
        <v>43920.38212962963</v>
      </c>
      <c r="I30" s="12"/>
      <c r="J30" s="10" t="s">
        <v>9</v>
      </c>
      <c r="K30" s="10" t="s">
        <v>85</v>
      </c>
      <c r="L30"/>
      <c r="M30"/>
      <c r="N30"/>
      <c r="O30"/>
      <c r="P30"/>
      <c r="Q30"/>
      <c r="R30"/>
      <c r="S30"/>
    </row>
    <row r="31" spans="2:19" x14ac:dyDescent="0.25">
      <c r="B31" s="10">
        <v>3945</v>
      </c>
      <c r="C31" s="10" t="s">
        <v>151</v>
      </c>
      <c r="D31" s="10" t="s">
        <v>58</v>
      </c>
      <c r="E31" s="10" t="s">
        <v>59</v>
      </c>
      <c r="F31" s="29"/>
      <c r="G31" s="10" t="s">
        <v>156</v>
      </c>
      <c r="H31" s="12">
        <v>43910.558645833335</v>
      </c>
      <c r="I31" s="12"/>
      <c r="J31" s="10" t="s">
        <v>86</v>
      </c>
      <c r="K31" s="10" t="s">
        <v>77</v>
      </c>
      <c r="L31"/>
      <c r="M31"/>
      <c r="N31"/>
      <c r="O31"/>
      <c r="P31"/>
      <c r="Q31"/>
      <c r="R31"/>
      <c r="S31"/>
    </row>
    <row r="32" spans="2:19" x14ac:dyDescent="0.25">
      <c r="B32" s="10">
        <v>3885</v>
      </c>
      <c r="C32" s="10" t="s">
        <v>158</v>
      </c>
      <c r="D32" s="10" t="s">
        <v>58</v>
      </c>
      <c r="E32" s="10" t="s">
        <v>60</v>
      </c>
      <c r="F32" s="29">
        <v>0.4</v>
      </c>
      <c r="G32" s="10" t="s">
        <v>157</v>
      </c>
      <c r="H32" s="12">
        <v>43888.465243055558</v>
      </c>
      <c r="I32" s="12"/>
      <c r="J32" s="10" t="s">
        <v>107</v>
      </c>
      <c r="K32" s="10" t="s">
        <v>57</v>
      </c>
      <c r="L32"/>
      <c r="M32"/>
      <c r="N32"/>
      <c r="O32"/>
      <c r="P32"/>
      <c r="Q32"/>
      <c r="R32"/>
      <c r="S32"/>
    </row>
    <row r="33" spans="2:19" x14ac:dyDescent="0.25">
      <c r="B33" s="10">
        <v>3799</v>
      </c>
      <c r="C33" s="10" t="s">
        <v>159</v>
      </c>
      <c r="D33" s="10" t="s">
        <v>58</v>
      </c>
      <c r="E33" s="10" t="s">
        <v>62</v>
      </c>
      <c r="F33" s="29">
        <v>0.4</v>
      </c>
      <c r="G33" s="10" t="s">
        <v>152</v>
      </c>
      <c r="H33" s="12">
        <v>43853.858171296299</v>
      </c>
      <c r="I33" s="12"/>
      <c r="J33" s="10" t="s">
        <v>50</v>
      </c>
      <c r="K33" s="10" t="s">
        <v>57</v>
      </c>
      <c r="L33"/>
      <c r="M33"/>
      <c r="N33"/>
      <c r="O33"/>
      <c r="P33"/>
      <c r="Q33"/>
      <c r="R33"/>
      <c r="S33"/>
    </row>
    <row r="34" spans="2:19" x14ac:dyDescent="0.25">
      <c r="B34" s="10">
        <v>3768</v>
      </c>
      <c r="C34" s="10" t="s">
        <v>160</v>
      </c>
      <c r="D34" s="10" t="s">
        <v>58</v>
      </c>
      <c r="E34" s="10" t="s">
        <v>62</v>
      </c>
      <c r="F34" s="29">
        <v>0.4</v>
      </c>
      <c r="G34" s="10" t="s">
        <v>153</v>
      </c>
      <c r="H34" s="12">
        <v>43843.691180555557</v>
      </c>
      <c r="I34" s="12"/>
      <c r="J34" s="10" t="s">
        <v>50</v>
      </c>
      <c r="K34" s="10" t="s">
        <v>53</v>
      </c>
      <c r="L34"/>
      <c r="M34"/>
      <c r="N34"/>
      <c r="O34"/>
      <c r="P34"/>
      <c r="Q34"/>
      <c r="R34"/>
      <c r="S34"/>
    </row>
    <row r="35" spans="2:19" x14ac:dyDescent="0.25">
      <c r="B35" s="10">
        <v>3758</v>
      </c>
      <c r="C35" s="10" t="s">
        <v>161</v>
      </c>
      <c r="D35" s="10" t="s">
        <v>58</v>
      </c>
      <c r="E35" s="10" t="s">
        <v>62</v>
      </c>
      <c r="F35" s="29">
        <v>0.4</v>
      </c>
      <c r="G35" s="10" t="s">
        <v>154</v>
      </c>
      <c r="H35" s="12">
        <v>43839.476712962962</v>
      </c>
      <c r="I35" s="12"/>
      <c r="J35" s="10" t="s">
        <v>9</v>
      </c>
      <c r="K35" s="10" t="s">
        <v>53</v>
      </c>
      <c r="L35"/>
      <c r="M35"/>
      <c r="N35"/>
      <c r="O35"/>
      <c r="P35"/>
      <c r="Q35"/>
      <c r="R35"/>
      <c r="S35"/>
    </row>
    <row r="36" spans="2:19" x14ac:dyDescent="0.25">
      <c r="B36" s="10">
        <v>3416</v>
      </c>
      <c r="C36" s="10" t="s">
        <v>162</v>
      </c>
      <c r="D36" s="10" t="s">
        <v>58</v>
      </c>
      <c r="E36" s="10" t="s">
        <v>59</v>
      </c>
      <c r="F36" s="29">
        <v>0.4</v>
      </c>
      <c r="G36" s="10" t="s">
        <v>155</v>
      </c>
      <c r="H36" s="12">
        <v>43732.763148148151</v>
      </c>
      <c r="I36" s="12"/>
      <c r="J36" s="10" t="s">
        <v>50</v>
      </c>
      <c r="K36" s="10" t="s">
        <v>51</v>
      </c>
      <c r="L36"/>
      <c r="M36"/>
      <c r="N36"/>
      <c r="O36"/>
      <c r="P36"/>
      <c r="Q36"/>
      <c r="R36"/>
      <c r="S36"/>
    </row>
    <row r="37" spans="2:19" x14ac:dyDescent="0.25">
      <c r="I37"/>
      <c r="J37"/>
      <c r="K37"/>
      <c r="L37"/>
      <c r="M37"/>
      <c r="N37"/>
      <c r="O37"/>
      <c r="P37"/>
      <c r="Q37"/>
      <c r="R37"/>
      <c r="S37"/>
    </row>
    <row r="38" spans="2:19" x14ac:dyDescent="0.25">
      <c r="I38"/>
      <c r="J38"/>
      <c r="K38"/>
      <c r="L38"/>
      <c r="M38"/>
      <c r="N38"/>
      <c r="O38"/>
      <c r="P38"/>
      <c r="Q38"/>
      <c r="R38"/>
      <c r="S38"/>
    </row>
    <row r="39" spans="2:19" x14ac:dyDescent="0.25">
      <c r="I39"/>
      <c r="J39"/>
      <c r="K39"/>
      <c r="L39"/>
      <c r="M39"/>
      <c r="N39"/>
      <c r="O39"/>
      <c r="P39"/>
      <c r="Q39"/>
      <c r="R39"/>
      <c r="S39"/>
    </row>
    <row r="40" spans="2:19" x14ac:dyDescent="0.25">
      <c r="I40"/>
      <c r="J40"/>
      <c r="K40"/>
      <c r="L40"/>
      <c r="M40"/>
      <c r="N40"/>
      <c r="O40"/>
      <c r="P40"/>
      <c r="Q40"/>
      <c r="R40"/>
      <c r="S40"/>
    </row>
    <row r="41" spans="2:19" x14ac:dyDescent="0.25">
      <c r="I41"/>
      <c r="J41"/>
      <c r="K41"/>
      <c r="L41"/>
      <c r="M41"/>
      <c r="N41"/>
      <c r="O41"/>
      <c r="P41"/>
      <c r="Q41"/>
      <c r="R41"/>
      <c r="S41"/>
    </row>
    <row r="42" spans="2:19" x14ac:dyDescent="0.25">
      <c r="I42"/>
      <c r="J42"/>
      <c r="K42"/>
      <c r="L42"/>
      <c r="M42"/>
      <c r="N42"/>
      <c r="O42"/>
      <c r="P42"/>
      <c r="Q42"/>
      <c r="R42"/>
      <c r="S42"/>
    </row>
    <row r="43" spans="2:19" x14ac:dyDescent="0.25">
      <c r="I43"/>
      <c r="J43"/>
      <c r="K43"/>
      <c r="L43"/>
      <c r="M43"/>
      <c r="N43"/>
      <c r="O43"/>
      <c r="P43"/>
      <c r="Q43"/>
      <c r="R43"/>
      <c r="S43"/>
    </row>
    <row r="44" spans="2:19" x14ac:dyDescent="0.25">
      <c r="I44"/>
      <c r="J44"/>
      <c r="K44"/>
      <c r="L44"/>
      <c r="M44"/>
      <c r="N44"/>
      <c r="O44"/>
      <c r="P44"/>
      <c r="Q44"/>
      <c r="R44"/>
      <c r="S44"/>
    </row>
    <row r="45" spans="2:19" x14ac:dyDescent="0.25">
      <c r="I45"/>
      <c r="J45"/>
      <c r="K45"/>
      <c r="L45"/>
      <c r="M45"/>
      <c r="N45"/>
      <c r="O45"/>
      <c r="P45"/>
      <c r="Q45"/>
      <c r="R45"/>
      <c r="S45"/>
    </row>
    <row r="46" spans="2:19" x14ac:dyDescent="0.25">
      <c r="I46"/>
      <c r="J46"/>
      <c r="K46"/>
      <c r="L46"/>
      <c r="M46"/>
      <c r="N46"/>
      <c r="O46"/>
      <c r="P46"/>
      <c r="Q46"/>
      <c r="R46"/>
      <c r="S46"/>
    </row>
    <row r="47" spans="2:19" x14ac:dyDescent="0.25">
      <c r="I47"/>
      <c r="J47"/>
      <c r="K47"/>
      <c r="L47"/>
      <c r="M47"/>
      <c r="N47"/>
      <c r="O47"/>
      <c r="P47"/>
      <c r="Q47"/>
      <c r="R47"/>
      <c r="S47"/>
    </row>
    <row r="48" spans="2:19" x14ac:dyDescent="0.25">
      <c r="I48"/>
      <c r="J48"/>
      <c r="K48"/>
      <c r="L48"/>
      <c r="M48"/>
      <c r="N48"/>
      <c r="O48"/>
      <c r="P48"/>
      <c r="Q48"/>
      <c r="R48"/>
      <c r="S48"/>
    </row>
    <row r="49" spans="9:19" x14ac:dyDescent="0.25">
      <c r="I49"/>
      <c r="J49"/>
      <c r="K49"/>
      <c r="L49"/>
      <c r="M49"/>
      <c r="N49"/>
      <c r="O49"/>
      <c r="P49"/>
      <c r="Q49"/>
      <c r="R49"/>
      <c r="S49"/>
    </row>
    <row r="50" spans="9:19" x14ac:dyDescent="0.25">
      <c r="I50"/>
      <c r="J50"/>
      <c r="K50"/>
      <c r="L50"/>
      <c r="M50"/>
      <c r="N50"/>
      <c r="O50"/>
      <c r="P50"/>
      <c r="Q50"/>
      <c r="R50"/>
      <c r="S50"/>
    </row>
    <row r="51" spans="9:19" x14ac:dyDescent="0.25">
      <c r="I51"/>
      <c r="J51"/>
      <c r="K51"/>
      <c r="L51"/>
      <c r="M51"/>
      <c r="N51"/>
      <c r="O51"/>
      <c r="P51"/>
      <c r="Q51"/>
      <c r="R51"/>
      <c r="S51"/>
    </row>
    <row r="52" spans="9:19" x14ac:dyDescent="0.25">
      <c r="I52"/>
      <c r="J52"/>
      <c r="K52"/>
      <c r="L52"/>
      <c r="M52"/>
      <c r="N52"/>
      <c r="O52"/>
      <c r="P52"/>
      <c r="Q52"/>
      <c r="R52"/>
      <c r="S52"/>
    </row>
    <row r="53" spans="9:19" x14ac:dyDescent="0.25">
      <c r="I53"/>
      <c r="J53"/>
      <c r="K53"/>
      <c r="L53"/>
      <c r="M53"/>
      <c r="N53"/>
      <c r="O53"/>
      <c r="P53"/>
      <c r="Q53"/>
      <c r="R53"/>
      <c r="S53"/>
    </row>
    <row r="54" spans="9:19" x14ac:dyDescent="0.25">
      <c r="I54"/>
      <c r="J54"/>
      <c r="K54"/>
      <c r="L54"/>
      <c r="M54"/>
      <c r="N54"/>
      <c r="O54"/>
      <c r="P54"/>
      <c r="Q54"/>
      <c r="R54"/>
      <c r="S54"/>
    </row>
    <row r="55" spans="9:19" x14ac:dyDescent="0.25">
      <c r="I55"/>
      <c r="J55"/>
      <c r="K55"/>
      <c r="L55"/>
      <c r="M55"/>
      <c r="N55"/>
      <c r="O55"/>
      <c r="P55"/>
      <c r="Q55"/>
      <c r="R55"/>
      <c r="S55"/>
    </row>
    <row r="56" spans="9:19" x14ac:dyDescent="0.25">
      <c r="I56"/>
      <c r="J56"/>
      <c r="K56"/>
      <c r="L56"/>
      <c r="M56"/>
      <c r="N56"/>
      <c r="O56"/>
      <c r="P56"/>
      <c r="Q56"/>
      <c r="R56"/>
      <c r="S56"/>
    </row>
    <row r="57" spans="9:19" x14ac:dyDescent="0.25">
      <c r="I57"/>
      <c r="J57"/>
      <c r="K57"/>
      <c r="L57"/>
      <c r="M57"/>
      <c r="N57"/>
      <c r="O57"/>
      <c r="P57"/>
      <c r="Q57"/>
      <c r="R57"/>
      <c r="S57"/>
    </row>
    <row r="58" spans="9:19" x14ac:dyDescent="0.25">
      <c r="I58"/>
      <c r="J58"/>
      <c r="K58"/>
      <c r="L58"/>
      <c r="M58"/>
      <c r="N58"/>
      <c r="O58"/>
      <c r="P58"/>
      <c r="Q58"/>
      <c r="R58"/>
      <c r="S58"/>
    </row>
    <row r="59" spans="9:19" x14ac:dyDescent="0.25">
      <c r="I59"/>
      <c r="J59"/>
      <c r="K59"/>
      <c r="L59"/>
      <c r="M59"/>
      <c r="N59"/>
      <c r="O59"/>
      <c r="P59"/>
      <c r="Q59"/>
      <c r="R59"/>
      <c r="S59"/>
    </row>
    <row r="60" spans="9:19" x14ac:dyDescent="0.25">
      <c r="I60"/>
      <c r="J60"/>
      <c r="K60"/>
      <c r="L60"/>
      <c r="M60"/>
      <c r="N60"/>
      <c r="O60"/>
      <c r="P60"/>
      <c r="Q60"/>
      <c r="R60"/>
      <c r="S60"/>
    </row>
    <row r="61" spans="9:19" x14ac:dyDescent="0.25">
      <c r="I61"/>
      <c r="J61"/>
      <c r="K61"/>
      <c r="L61"/>
      <c r="M61"/>
      <c r="N61"/>
      <c r="O61"/>
      <c r="P61"/>
      <c r="Q61"/>
      <c r="R61"/>
      <c r="S61"/>
    </row>
    <row r="62" spans="9:19" x14ac:dyDescent="0.25">
      <c r="I62"/>
      <c r="J62"/>
      <c r="K62"/>
      <c r="L62"/>
      <c r="M62"/>
      <c r="N62"/>
      <c r="O62"/>
      <c r="P62"/>
      <c r="Q62"/>
      <c r="R62"/>
      <c r="S62"/>
    </row>
    <row r="63" spans="9:19" x14ac:dyDescent="0.25">
      <c r="I63"/>
      <c r="J63"/>
      <c r="K63"/>
      <c r="L63"/>
      <c r="M63"/>
      <c r="N63"/>
      <c r="O63"/>
      <c r="P63"/>
      <c r="Q63"/>
      <c r="R63"/>
      <c r="S63"/>
    </row>
    <row r="64" spans="9:19" x14ac:dyDescent="0.25">
      <c r="I64"/>
      <c r="J64"/>
      <c r="K64"/>
      <c r="L64"/>
      <c r="M64"/>
      <c r="N64"/>
      <c r="O64"/>
      <c r="P64"/>
      <c r="Q64"/>
      <c r="R64"/>
      <c r="S64"/>
    </row>
    <row r="65" spans="9:19" x14ac:dyDescent="0.25">
      <c r="I65"/>
      <c r="J65"/>
      <c r="K65"/>
      <c r="L65"/>
      <c r="M65"/>
      <c r="N65"/>
      <c r="O65"/>
      <c r="P65"/>
      <c r="Q65"/>
      <c r="R65"/>
      <c r="S65"/>
    </row>
    <row r="66" spans="9:19" x14ac:dyDescent="0.25">
      <c r="I66"/>
      <c r="J66"/>
      <c r="K66"/>
      <c r="L66"/>
      <c r="M66"/>
      <c r="N66"/>
      <c r="O66"/>
      <c r="P66"/>
      <c r="Q66"/>
      <c r="R66"/>
      <c r="S66"/>
    </row>
    <row r="67" spans="9:19" x14ac:dyDescent="0.25">
      <c r="I67"/>
      <c r="J67"/>
      <c r="K67"/>
      <c r="L67"/>
      <c r="M67"/>
      <c r="N67"/>
      <c r="O67"/>
      <c r="P67"/>
      <c r="Q67"/>
      <c r="R67"/>
      <c r="S67"/>
    </row>
    <row r="68" spans="9:19" x14ac:dyDescent="0.25">
      <c r="I68"/>
      <c r="J68"/>
      <c r="K68"/>
      <c r="L68"/>
      <c r="M68"/>
      <c r="N68"/>
      <c r="O68"/>
      <c r="P68"/>
      <c r="Q68"/>
      <c r="R68"/>
      <c r="S68"/>
    </row>
    <row r="69" spans="9:19" x14ac:dyDescent="0.25">
      <c r="I69"/>
      <c r="J69"/>
      <c r="K69"/>
      <c r="L69"/>
      <c r="M69"/>
      <c r="N69"/>
      <c r="O69"/>
      <c r="P69"/>
      <c r="Q69"/>
      <c r="R69"/>
      <c r="S69"/>
    </row>
    <row r="70" spans="9:19" x14ac:dyDescent="0.25">
      <c r="I70"/>
      <c r="J70"/>
      <c r="K70"/>
      <c r="L70"/>
      <c r="M70"/>
      <c r="N70"/>
      <c r="O70"/>
      <c r="P70"/>
      <c r="Q70"/>
      <c r="R70"/>
      <c r="S70"/>
    </row>
    <row r="71" spans="9:19" x14ac:dyDescent="0.25">
      <c r="I71"/>
      <c r="J71"/>
      <c r="K71"/>
      <c r="L71"/>
      <c r="M71"/>
      <c r="N71"/>
      <c r="O71"/>
      <c r="P71"/>
      <c r="Q71"/>
      <c r="R71"/>
      <c r="S71"/>
    </row>
    <row r="72" spans="9:19" x14ac:dyDescent="0.25">
      <c r="I72"/>
      <c r="J72"/>
      <c r="K72"/>
      <c r="L72"/>
      <c r="M72"/>
      <c r="N72"/>
      <c r="O72"/>
      <c r="P72"/>
      <c r="Q72"/>
      <c r="R72"/>
      <c r="S72"/>
    </row>
    <row r="73" spans="9:19" x14ac:dyDescent="0.25">
      <c r="I73"/>
      <c r="J73"/>
      <c r="K73"/>
      <c r="L73"/>
      <c r="M73"/>
      <c r="N73"/>
      <c r="O73"/>
      <c r="P73"/>
      <c r="Q73"/>
      <c r="R73"/>
      <c r="S73"/>
    </row>
    <row r="74" spans="9:19" x14ac:dyDescent="0.25">
      <c r="I74"/>
      <c r="J74"/>
      <c r="K74"/>
      <c r="L74"/>
      <c r="M74"/>
      <c r="N74"/>
      <c r="O74"/>
      <c r="P74"/>
      <c r="Q74"/>
      <c r="R74"/>
      <c r="S74"/>
    </row>
    <row r="75" spans="9:19" x14ac:dyDescent="0.25">
      <c r="I75"/>
      <c r="J75"/>
      <c r="K75"/>
      <c r="L75"/>
      <c r="M75"/>
      <c r="N75"/>
      <c r="O75"/>
      <c r="P75"/>
      <c r="Q75"/>
      <c r="R75"/>
      <c r="S75"/>
    </row>
    <row r="76" spans="9:19" x14ac:dyDescent="0.25">
      <c r="I76"/>
      <c r="J76"/>
      <c r="K76"/>
      <c r="L76"/>
      <c r="M76"/>
      <c r="N76"/>
      <c r="O76"/>
      <c r="P76"/>
      <c r="Q76"/>
      <c r="R76"/>
      <c r="S76"/>
    </row>
    <row r="77" spans="9:19" x14ac:dyDescent="0.25">
      <c r="I77"/>
      <c r="J77"/>
      <c r="K77"/>
      <c r="L77"/>
      <c r="M77"/>
      <c r="N77"/>
      <c r="O77"/>
      <c r="P77"/>
      <c r="Q77"/>
      <c r="R77"/>
      <c r="S77"/>
    </row>
    <row r="78" spans="9:19" x14ac:dyDescent="0.25">
      <c r="I78"/>
      <c r="J78"/>
      <c r="K78"/>
      <c r="L78"/>
      <c r="M78"/>
      <c r="N78"/>
      <c r="O78"/>
      <c r="P78"/>
      <c r="Q78"/>
      <c r="R78"/>
      <c r="S78"/>
    </row>
    <row r="79" spans="9:19" x14ac:dyDescent="0.25">
      <c r="I79"/>
      <c r="J79"/>
      <c r="K79"/>
      <c r="L79"/>
      <c r="M79"/>
      <c r="N79"/>
      <c r="O79"/>
      <c r="P79"/>
      <c r="Q79"/>
      <c r="R79"/>
      <c r="S79"/>
    </row>
    <row r="80" spans="9:19" x14ac:dyDescent="0.25">
      <c r="I80"/>
      <c r="J80"/>
      <c r="K80"/>
      <c r="L80"/>
      <c r="M80"/>
      <c r="N80"/>
      <c r="O80"/>
      <c r="P80"/>
      <c r="Q80"/>
      <c r="R80"/>
      <c r="S80"/>
    </row>
    <row r="81" spans="9:19" x14ac:dyDescent="0.25">
      <c r="I81"/>
      <c r="J81"/>
      <c r="K81"/>
      <c r="L81"/>
      <c r="M81"/>
      <c r="N81"/>
      <c r="O81"/>
      <c r="P81"/>
      <c r="Q81"/>
      <c r="R81"/>
      <c r="S81"/>
    </row>
    <row r="82" spans="9:19" x14ac:dyDescent="0.25">
      <c r="I82"/>
      <c r="J82"/>
      <c r="K82"/>
      <c r="L82"/>
      <c r="M82"/>
      <c r="N82"/>
      <c r="O82"/>
      <c r="P82"/>
      <c r="Q82"/>
      <c r="R82"/>
      <c r="S82"/>
    </row>
    <row r="83" spans="9:19" x14ac:dyDescent="0.25">
      <c r="I83"/>
      <c r="J83"/>
      <c r="K83"/>
      <c r="L83"/>
      <c r="M83"/>
      <c r="N83"/>
      <c r="O83"/>
      <c r="P83"/>
      <c r="Q83"/>
      <c r="R83"/>
      <c r="S83"/>
    </row>
    <row r="84" spans="9:19" x14ac:dyDescent="0.25">
      <c r="I84"/>
      <c r="J84"/>
      <c r="K84"/>
      <c r="L84"/>
      <c r="M84"/>
      <c r="N84"/>
      <c r="O84"/>
      <c r="P84"/>
      <c r="Q84"/>
      <c r="R84"/>
      <c r="S84"/>
    </row>
    <row r="85" spans="9:19" x14ac:dyDescent="0.25">
      <c r="I85"/>
      <c r="J85"/>
      <c r="K85"/>
      <c r="L85"/>
      <c r="M85"/>
      <c r="N85"/>
      <c r="O85"/>
      <c r="P85"/>
      <c r="Q85"/>
      <c r="R85"/>
      <c r="S85"/>
    </row>
    <row r="86" spans="9:19" x14ac:dyDescent="0.25">
      <c r="I86"/>
      <c r="J86"/>
      <c r="K86"/>
      <c r="L86"/>
      <c r="M86"/>
      <c r="N86"/>
      <c r="O86"/>
      <c r="P86"/>
      <c r="Q86"/>
      <c r="R86"/>
      <c r="S86"/>
    </row>
    <row r="87" spans="9:19" x14ac:dyDescent="0.25">
      <c r="I87"/>
      <c r="J87"/>
      <c r="K87"/>
      <c r="L87"/>
      <c r="M87"/>
      <c r="N87"/>
      <c r="O87"/>
      <c r="P87"/>
      <c r="Q87"/>
      <c r="R87"/>
      <c r="S87"/>
    </row>
    <row r="88" spans="9:19" x14ac:dyDescent="0.25">
      <c r="I88"/>
      <c r="J88"/>
      <c r="K88"/>
      <c r="L88"/>
      <c r="M88"/>
      <c r="N88"/>
      <c r="O88"/>
      <c r="P88"/>
      <c r="Q88"/>
      <c r="R88"/>
      <c r="S88"/>
    </row>
    <row r="89" spans="9:19" x14ac:dyDescent="0.25">
      <c r="I89"/>
      <c r="J89"/>
      <c r="K89"/>
      <c r="L89"/>
      <c r="M89"/>
      <c r="N89"/>
      <c r="O89"/>
      <c r="P89"/>
      <c r="Q89"/>
      <c r="R89"/>
      <c r="S89"/>
    </row>
    <row r="90" spans="9:19" x14ac:dyDescent="0.25">
      <c r="I90"/>
      <c r="J90"/>
      <c r="K90"/>
      <c r="L90"/>
      <c r="M90"/>
      <c r="N90"/>
      <c r="O90"/>
      <c r="P90"/>
      <c r="Q90"/>
      <c r="R90"/>
      <c r="S90"/>
    </row>
    <row r="91" spans="9:19" x14ac:dyDescent="0.25">
      <c r="I91"/>
      <c r="J91"/>
      <c r="K91"/>
      <c r="L91"/>
      <c r="M91"/>
      <c r="N91"/>
      <c r="O91"/>
      <c r="P91"/>
      <c r="Q91"/>
      <c r="R91"/>
      <c r="S91"/>
    </row>
    <row r="92" spans="9:19" x14ac:dyDescent="0.25">
      <c r="I92"/>
      <c r="J92"/>
      <c r="K92"/>
      <c r="L92"/>
      <c r="M92"/>
      <c r="N92"/>
      <c r="O92"/>
      <c r="P92"/>
      <c r="Q92"/>
      <c r="R92"/>
      <c r="S92"/>
    </row>
    <row r="93" spans="9:19" x14ac:dyDescent="0.25">
      <c r="I93"/>
      <c r="J93"/>
      <c r="K93"/>
      <c r="L93"/>
      <c r="M93"/>
      <c r="N93"/>
      <c r="O93"/>
      <c r="P93"/>
      <c r="Q93"/>
      <c r="R93"/>
      <c r="S93"/>
    </row>
    <row r="94" spans="9:19" x14ac:dyDescent="0.25">
      <c r="I94"/>
      <c r="J94"/>
      <c r="K94"/>
      <c r="L94"/>
      <c r="M94"/>
      <c r="N94"/>
      <c r="O94"/>
      <c r="P94"/>
      <c r="Q94"/>
      <c r="R94"/>
      <c r="S94"/>
    </row>
    <row r="95" spans="9:19" x14ac:dyDescent="0.25">
      <c r="I95"/>
      <c r="J95"/>
      <c r="K95"/>
      <c r="L95"/>
      <c r="M95"/>
      <c r="N95"/>
      <c r="O95"/>
      <c r="P95"/>
      <c r="Q95"/>
      <c r="R95"/>
      <c r="S95"/>
    </row>
    <row r="96" spans="9:19" x14ac:dyDescent="0.25">
      <c r="I96"/>
      <c r="J96"/>
      <c r="K96"/>
      <c r="L96"/>
      <c r="M96"/>
      <c r="N96"/>
      <c r="O96"/>
      <c r="P96"/>
      <c r="Q96"/>
      <c r="R96"/>
      <c r="S96"/>
    </row>
    <row r="97" spans="9:19" x14ac:dyDescent="0.25">
      <c r="I97"/>
      <c r="J97"/>
      <c r="K97"/>
      <c r="L97"/>
      <c r="M97"/>
      <c r="N97"/>
      <c r="O97"/>
      <c r="P97"/>
      <c r="Q97"/>
      <c r="R97"/>
      <c r="S97"/>
    </row>
  </sheetData>
  <autoFilter ref="B8:K8" xr:uid="{00000000-0009-0000-0000-000007000000}"/>
  <mergeCells count="1">
    <mergeCell ref="B2:K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>
    <tabColor rgb="FF35BEE9"/>
  </sheetPr>
  <dimension ref="B1:S96"/>
  <sheetViews>
    <sheetView showGridLines="0" workbookViewId="0">
      <pane ySplit="8" topLeftCell="A21" activePane="bottomLeft" state="frozen"/>
      <selection activeCell="C5" sqref="C5:C6"/>
      <selection pane="bottomLeft" activeCell="C23" sqref="C23"/>
    </sheetView>
  </sheetViews>
  <sheetFormatPr defaultColWidth="9.140625" defaultRowHeight="15" x14ac:dyDescent="0.25"/>
  <cols>
    <col min="1" max="1" width="2.7109375" style="1" customWidth="1"/>
    <col min="2" max="2" width="9.28515625" bestFit="1" customWidth="1"/>
    <col min="3" max="3" width="52.5703125" customWidth="1"/>
    <col min="4" max="4" width="20.5703125" customWidth="1"/>
    <col min="5" max="5" width="22.5703125" bestFit="1" customWidth="1"/>
    <col min="6" max="6" width="15.85546875" bestFit="1" customWidth="1"/>
    <col min="7" max="7" width="17" bestFit="1" customWidth="1"/>
    <col min="8" max="8" width="13.7109375" bestFit="1" customWidth="1"/>
    <col min="9" max="9" width="18.28515625" style="1" customWidth="1"/>
    <col min="10" max="246" width="20.5703125" style="1" customWidth="1"/>
    <col min="247" max="16384" width="9.140625" style="1"/>
  </cols>
  <sheetData>
    <row r="1" spans="2:19" hidden="1" x14ac:dyDescent="0.25">
      <c r="B1" s="10"/>
      <c r="C1" s="10"/>
      <c r="D1" s="10"/>
      <c r="E1" s="10"/>
      <c r="F1" s="25"/>
      <c r="G1" s="10"/>
      <c r="H1" s="12"/>
      <c r="I1" s="12"/>
      <c r="J1" s="10"/>
      <c r="K1" s="10"/>
    </row>
    <row r="2" spans="2:19" ht="34.5" customHeight="1" x14ac:dyDescent="0.25">
      <c r="B2" s="44" t="s">
        <v>22</v>
      </c>
      <c r="C2" s="44"/>
      <c r="D2" s="44"/>
      <c r="E2" s="44"/>
      <c r="F2" s="44"/>
      <c r="G2" s="44"/>
      <c r="H2" s="44"/>
      <c r="I2" s="44"/>
      <c r="J2" s="44"/>
      <c r="K2" s="44"/>
    </row>
    <row r="3" spans="2:19" ht="6.75" customHeight="1" x14ac:dyDescent="0.25">
      <c r="B3" s="2"/>
      <c r="C3" s="3"/>
      <c r="D3" s="3"/>
      <c r="E3" s="2"/>
      <c r="F3" s="18"/>
      <c r="G3" s="8"/>
      <c r="H3" s="16"/>
    </row>
    <row r="4" spans="2:19" ht="15.75" x14ac:dyDescent="0.25">
      <c r="B4" s="7" t="s">
        <v>15</v>
      </c>
      <c r="C4" s="5" t="s">
        <v>47</v>
      </c>
      <c r="D4" s="1"/>
      <c r="E4" s="2"/>
      <c r="F4" s="18"/>
      <c r="G4" s="8"/>
      <c r="H4" s="16"/>
    </row>
    <row r="5" spans="2:19" ht="15.75" x14ac:dyDescent="0.25">
      <c r="B5" s="7" t="s">
        <v>16</v>
      </c>
      <c r="C5" s="5" t="s">
        <v>127</v>
      </c>
      <c r="D5" s="1"/>
      <c r="E5" s="2"/>
      <c r="F5" s="18"/>
      <c r="G5" s="8"/>
      <c r="H5" s="16"/>
    </row>
    <row r="6" spans="2:19" ht="15.75" x14ac:dyDescent="0.25">
      <c r="B6" s="7" t="s">
        <v>17</v>
      </c>
      <c r="C6" s="6">
        <v>44014.492418981485</v>
      </c>
      <c r="D6" s="1"/>
      <c r="E6" s="2"/>
      <c r="F6" s="18"/>
      <c r="G6" s="8"/>
      <c r="H6" s="16"/>
    </row>
    <row r="7" spans="2:19" x14ac:dyDescent="0.25">
      <c r="B7" s="1"/>
      <c r="C7" s="1"/>
      <c r="D7" s="1"/>
      <c r="E7" s="1"/>
      <c r="F7" s="18"/>
      <c r="G7" s="8"/>
      <c r="H7" s="16"/>
    </row>
    <row r="8" spans="2:19" x14ac:dyDescent="0.25">
      <c r="B8" s="14" t="s">
        <v>0</v>
      </c>
      <c r="C8" s="14" t="s">
        <v>1</v>
      </c>
      <c r="D8" s="14" t="s">
        <v>2</v>
      </c>
      <c r="E8" s="14" t="s">
        <v>3</v>
      </c>
      <c r="F8" s="19" t="s">
        <v>11</v>
      </c>
      <c r="G8" s="14" t="s">
        <v>6</v>
      </c>
      <c r="H8" s="17" t="s">
        <v>7</v>
      </c>
      <c r="I8" s="14" t="s">
        <v>12</v>
      </c>
      <c r="J8" s="14" t="s">
        <v>10</v>
      </c>
      <c r="K8" s="14" t="s">
        <v>8</v>
      </c>
    </row>
    <row r="9" spans="2:19" x14ac:dyDescent="0.25">
      <c r="B9" s="10">
        <v>4330</v>
      </c>
      <c r="C9" s="10" t="s">
        <v>121</v>
      </c>
      <c r="D9" s="10" t="s">
        <v>58</v>
      </c>
      <c r="E9" s="10" t="s">
        <v>109</v>
      </c>
      <c r="F9" s="25"/>
      <c r="G9" s="10" t="s">
        <v>152</v>
      </c>
      <c r="H9" s="12">
        <v>44011.587708333333</v>
      </c>
      <c r="I9" s="12">
        <v>44043</v>
      </c>
      <c r="J9" s="10" t="s">
        <v>50</v>
      </c>
      <c r="K9" s="10" t="s">
        <v>51</v>
      </c>
      <c r="L9"/>
      <c r="M9"/>
      <c r="N9"/>
      <c r="O9"/>
      <c r="P9"/>
      <c r="Q9"/>
      <c r="R9"/>
      <c r="S9"/>
    </row>
    <row r="10" spans="2:19" x14ac:dyDescent="0.25">
      <c r="B10" s="10">
        <v>4191</v>
      </c>
      <c r="C10" s="10" t="s">
        <v>88</v>
      </c>
      <c r="D10" s="10" t="s">
        <v>58</v>
      </c>
      <c r="E10" s="10" t="s">
        <v>109</v>
      </c>
      <c r="F10" s="25"/>
      <c r="G10" s="10" t="s">
        <v>153</v>
      </c>
      <c r="H10" s="12">
        <v>43973.645925925928</v>
      </c>
      <c r="I10" s="12">
        <v>43992</v>
      </c>
      <c r="J10" s="10" t="s">
        <v>50</v>
      </c>
      <c r="K10" s="10" t="s">
        <v>51</v>
      </c>
      <c r="L10"/>
      <c r="M10"/>
      <c r="N10"/>
      <c r="O10"/>
      <c r="P10"/>
      <c r="Q10"/>
      <c r="R10"/>
      <c r="S10"/>
    </row>
    <row r="11" spans="2:19" x14ac:dyDescent="0.25">
      <c r="B11" s="10">
        <v>4185</v>
      </c>
      <c r="C11" s="10" t="s">
        <v>89</v>
      </c>
      <c r="D11" s="10" t="s">
        <v>58</v>
      </c>
      <c r="E11" s="10" t="s">
        <v>82</v>
      </c>
      <c r="F11" s="25"/>
      <c r="G11" s="10" t="s">
        <v>154</v>
      </c>
      <c r="H11" s="12">
        <v>43973.636296296296</v>
      </c>
      <c r="I11" s="12">
        <v>44043</v>
      </c>
      <c r="J11" s="10" t="s">
        <v>50</v>
      </c>
      <c r="K11" s="10" t="s">
        <v>51</v>
      </c>
      <c r="L11"/>
      <c r="M11"/>
      <c r="N11"/>
      <c r="O11"/>
      <c r="P11"/>
      <c r="Q11"/>
      <c r="R11"/>
      <c r="S11"/>
    </row>
    <row r="12" spans="2:19" x14ac:dyDescent="0.25">
      <c r="B12" s="10">
        <v>4181</v>
      </c>
      <c r="C12" s="10" t="s">
        <v>91</v>
      </c>
      <c r="D12" s="10" t="s">
        <v>58</v>
      </c>
      <c r="E12" s="10" t="s">
        <v>109</v>
      </c>
      <c r="F12" s="25">
        <v>0.4</v>
      </c>
      <c r="G12" s="10" t="s">
        <v>155</v>
      </c>
      <c r="H12" s="12">
        <v>43973.510231481479</v>
      </c>
      <c r="I12" s="12"/>
      <c r="J12" s="10" t="s">
        <v>9</v>
      </c>
      <c r="K12" s="10" t="s">
        <v>77</v>
      </c>
      <c r="L12"/>
      <c r="M12"/>
      <c r="N12"/>
      <c r="O12"/>
      <c r="P12"/>
      <c r="Q12"/>
      <c r="R12"/>
      <c r="S12"/>
    </row>
    <row r="13" spans="2:19" x14ac:dyDescent="0.25">
      <c r="B13" s="10">
        <v>4131</v>
      </c>
      <c r="C13" s="10" t="s">
        <v>126</v>
      </c>
      <c r="D13" s="10" t="s">
        <v>58</v>
      </c>
      <c r="E13" s="10" t="s">
        <v>109</v>
      </c>
      <c r="F13" s="25">
        <v>0.6</v>
      </c>
      <c r="G13" s="10" t="s">
        <v>156</v>
      </c>
      <c r="H13" s="12">
        <v>43965.553541666668</v>
      </c>
      <c r="I13" s="12"/>
      <c r="J13" s="10" t="s">
        <v>50</v>
      </c>
      <c r="K13" s="10" t="s">
        <v>54</v>
      </c>
      <c r="L13"/>
      <c r="M13"/>
      <c r="N13"/>
      <c r="O13"/>
      <c r="P13"/>
      <c r="Q13"/>
      <c r="R13"/>
      <c r="S13"/>
    </row>
    <row r="14" spans="2:19" x14ac:dyDescent="0.25">
      <c r="B14" s="10">
        <v>4055</v>
      </c>
      <c r="C14" s="10" t="s">
        <v>105</v>
      </c>
      <c r="D14" s="10" t="s">
        <v>58</v>
      </c>
      <c r="E14" s="10" t="s">
        <v>109</v>
      </c>
      <c r="F14" s="25">
        <v>0.4</v>
      </c>
      <c r="G14" s="10" t="s">
        <v>157</v>
      </c>
      <c r="H14" s="12">
        <v>43945.434861111113</v>
      </c>
      <c r="I14" s="12"/>
      <c r="J14" s="10" t="s">
        <v>48</v>
      </c>
      <c r="K14" s="10" t="s">
        <v>108</v>
      </c>
      <c r="L14"/>
      <c r="M14"/>
      <c r="N14"/>
      <c r="O14"/>
      <c r="P14"/>
      <c r="Q14"/>
      <c r="R14"/>
      <c r="S14"/>
    </row>
    <row r="15" spans="2:19" x14ac:dyDescent="0.25">
      <c r="B15" s="10">
        <v>4043</v>
      </c>
      <c r="C15" s="10" t="s">
        <v>117</v>
      </c>
      <c r="D15" s="10" t="s">
        <v>58</v>
      </c>
      <c r="E15" s="10" t="s">
        <v>109</v>
      </c>
      <c r="F15" s="25"/>
      <c r="G15" s="10" t="s">
        <v>152</v>
      </c>
      <c r="H15" s="12">
        <v>43943.44127314815</v>
      </c>
      <c r="I15" s="12"/>
      <c r="J15" s="10" t="s">
        <v>50</v>
      </c>
      <c r="K15" s="10" t="s">
        <v>51</v>
      </c>
      <c r="L15"/>
      <c r="M15"/>
      <c r="N15"/>
      <c r="O15"/>
      <c r="P15"/>
      <c r="Q15"/>
      <c r="R15"/>
      <c r="S15"/>
    </row>
    <row r="16" spans="2:19" x14ac:dyDescent="0.25">
      <c r="B16" s="10">
        <v>3738</v>
      </c>
      <c r="C16" s="10" t="s">
        <v>78</v>
      </c>
      <c r="D16" s="10" t="s">
        <v>58</v>
      </c>
      <c r="E16" s="10" t="s">
        <v>60</v>
      </c>
      <c r="F16" s="25">
        <v>0.4</v>
      </c>
      <c r="G16" s="10" t="s">
        <v>153</v>
      </c>
      <c r="H16" s="12">
        <v>43833.543020833335</v>
      </c>
      <c r="I16" s="12"/>
      <c r="J16" s="10" t="s">
        <v>50</v>
      </c>
      <c r="K16" s="10" t="s">
        <v>55</v>
      </c>
      <c r="L16"/>
      <c r="M16"/>
      <c r="N16"/>
      <c r="O16"/>
      <c r="P16"/>
      <c r="Q16"/>
      <c r="R16"/>
      <c r="S16"/>
    </row>
    <row r="17" spans="2:19" x14ac:dyDescent="0.25">
      <c r="B17" s="10">
        <v>3736</v>
      </c>
      <c r="C17" s="10" t="s">
        <v>79</v>
      </c>
      <c r="D17" s="10" t="s">
        <v>58</v>
      </c>
      <c r="E17" s="10" t="s">
        <v>60</v>
      </c>
      <c r="F17" s="25">
        <v>0.4</v>
      </c>
      <c r="G17" s="10" t="s">
        <v>154</v>
      </c>
      <c r="H17" s="12">
        <v>43833.514189814814</v>
      </c>
      <c r="I17" s="12"/>
      <c r="J17" s="10" t="s">
        <v>50</v>
      </c>
      <c r="K17" s="10" t="s">
        <v>55</v>
      </c>
      <c r="L17"/>
      <c r="M17"/>
      <c r="N17"/>
      <c r="O17"/>
      <c r="P17"/>
      <c r="Q17"/>
      <c r="R17"/>
      <c r="S17"/>
    </row>
    <row r="18" spans="2:19" x14ac:dyDescent="0.25">
      <c r="B18" s="10">
        <v>3692</v>
      </c>
      <c r="C18" s="10" t="s">
        <v>83</v>
      </c>
      <c r="D18" s="10" t="s">
        <v>58</v>
      </c>
      <c r="E18" s="10" t="s">
        <v>60</v>
      </c>
      <c r="F18" s="25">
        <v>0.4</v>
      </c>
      <c r="G18" s="10" t="s">
        <v>155</v>
      </c>
      <c r="H18" s="12">
        <v>43804.602025462962</v>
      </c>
      <c r="I18" s="12"/>
      <c r="J18" s="10" t="s">
        <v>90</v>
      </c>
      <c r="K18" s="10" t="s">
        <v>55</v>
      </c>
      <c r="L18"/>
      <c r="M18"/>
      <c r="N18"/>
      <c r="O18"/>
      <c r="P18"/>
      <c r="Q18"/>
      <c r="R18"/>
      <c r="S18"/>
    </row>
    <row r="19" spans="2:19" x14ac:dyDescent="0.25">
      <c r="B19" s="10">
        <v>3630</v>
      </c>
      <c r="C19" s="10" t="s">
        <v>80</v>
      </c>
      <c r="D19" s="10" t="s">
        <v>58</v>
      </c>
      <c r="E19" s="10" t="s">
        <v>59</v>
      </c>
      <c r="F19" s="25">
        <v>0.4</v>
      </c>
      <c r="G19" s="10" t="s">
        <v>156</v>
      </c>
      <c r="H19" s="12">
        <v>43782.375648148147</v>
      </c>
      <c r="I19" s="12"/>
      <c r="J19" s="10" t="s">
        <v>50</v>
      </c>
      <c r="K19" s="10" t="s">
        <v>55</v>
      </c>
      <c r="L19"/>
      <c r="M19"/>
      <c r="N19"/>
      <c r="O19"/>
      <c r="P19"/>
      <c r="Q19"/>
      <c r="R19"/>
      <c r="S19"/>
    </row>
    <row r="20" spans="2:19" x14ac:dyDescent="0.25">
      <c r="B20" s="10">
        <v>3628</v>
      </c>
      <c r="C20" s="10" t="s">
        <v>124</v>
      </c>
      <c r="D20" s="10" t="s">
        <v>58</v>
      </c>
      <c r="E20" s="10" t="s">
        <v>60</v>
      </c>
      <c r="F20" s="25">
        <v>0.6</v>
      </c>
      <c r="G20" s="10" t="s">
        <v>157</v>
      </c>
      <c r="H20" s="12">
        <v>43781.781793981485</v>
      </c>
      <c r="I20" s="12"/>
      <c r="J20" s="10" t="s">
        <v>50</v>
      </c>
      <c r="K20" s="10" t="s">
        <v>55</v>
      </c>
      <c r="L20"/>
      <c r="M20"/>
      <c r="N20"/>
      <c r="O20"/>
      <c r="P20"/>
      <c r="Q20"/>
      <c r="R20"/>
      <c r="S20"/>
    </row>
    <row r="21" spans="2:19" x14ac:dyDescent="0.25">
      <c r="B21" s="10">
        <v>3604</v>
      </c>
      <c r="C21" s="10" t="s">
        <v>148</v>
      </c>
      <c r="D21" s="10" t="s">
        <v>58</v>
      </c>
      <c r="E21" s="10" t="s">
        <v>60</v>
      </c>
      <c r="F21" s="25">
        <v>0.6</v>
      </c>
      <c r="G21" s="10" t="s">
        <v>152</v>
      </c>
      <c r="H21" s="12">
        <v>43780.656504629631</v>
      </c>
      <c r="I21" s="12">
        <v>43830</v>
      </c>
      <c r="J21" s="10" t="s">
        <v>50</v>
      </c>
      <c r="K21" s="10" t="s">
        <v>51</v>
      </c>
      <c r="L21"/>
      <c r="M21"/>
      <c r="N21"/>
      <c r="O21"/>
      <c r="P21"/>
      <c r="Q21"/>
      <c r="R21"/>
      <c r="S21"/>
    </row>
    <row r="22" spans="2:19" x14ac:dyDescent="0.25">
      <c r="B22" s="10">
        <v>3100</v>
      </c>
      <c r="C22" s="10" t="s">
        <v>149</v>
      </c>
      <c r="D22" s="10" t="s">
        <v>58</v>
      </c>
      <c r="E22" s="10" t="s">
        <v>60</v>
      </c>
      <c r="F22" s="25">
        <v>0.4</v>
      </c>
      <c r="G22" s="10" t="s">
        <v>153</v>
      </c>
      <c r="H22" s="12">
        <v>43632.780821759261</v>
      </c>
      <c r="I22" s="12"/>
      <c r="J22" s="10" t="s">
        <v>90</v>
      </c>
      <c r="K22" s="10" t="s">
        <v>55</v>
      </c>
      <c r="L22"/>
      <c r="M22"/>
      <c r="N22"/>
      <c r="O22"/>
      <c r="P22"/>
      <c r="Q22"/>
      <c r="R22"/>
      <c r="S22"/>
    </row>
    <row r="23" spans="2:19" x14ac:dyDescent="0.25">
      <c r="B23" s="10">
        <v>2954</v>
      </c>
      <c r="C23" s="10" t="s">
        <v>150</v>
      </c>
      <c r="D23" s="10" t="s">
        <v>58</v>
      </c>
      <c r="E23" s="10" t="s">
        <v>59</v>
      </c>
      <c r="F23" s="25">
        <v>0.4</v>
      </c>
      <c r="G23" s="10" t="s">
        <v>154</v>
      </c>
      <c r="H23" s="12">
        <v>43602.401828703703</v>
      </c>
      <c r="I23" s="12"/>
      <c r="J23" s="10" t="s">
        <v>76</v>
      </c>
      <c r="K23" s="10" t="s">
        <v>55</v>
      </c>
      <c r="L23"/>
      <c r="M23"/>
      <c r="N23"/>
      <c r="O23"/>
      <c r="P23"/>
      <c r="Q23"/>
      <c r="R23"/>
      <c r="S23"/>
    </row>
    <row r="24" spans="2:19" x14ac:dyDescent="0.25">
      <c r="B24" s="10">
        <v>2878</v>
      </c>
      <c r="C24" s="10" t="s">
        <v>151</v>
      </c>
      <c r="D24" s="10" t="s">
        <v>58</v>
      </c>
      <c r="E24" s="10" t="s">
        <v>59</v>
      </c>
      <c r="F24" s="25">
        <v>0.4</v>
      </c>
      <c r="G24" s="10" t="s">
        <v>155</v>
      </c>
      <c r="H24" s="12">
        <v>43590.953009259261</v>
      </c>
      <c r="I24" s="12"/>
      <c r="J24" s="10" t="s">
        <v>50</v>
      </c>
      <c r="K24" s="10" t="s">
        <v>55</v>
      </c>
      <c r="L24"/>
      <c r="M24"/>
      <c r="N24"/>
      <c r="O24"/>
      <c r="P24"/>
      <c r="Q24"/>
      <c r="R24"/>
      <c r="S24"/>
    </row>
    <row r="25" spans="2:19" x14ac:dyDescent="0.25">
      <c r="B25" s="10">
        <v>2812</v>
      </c>
      <c r="C25" s="10" t="s">
        <v>158</v>
      </c>
      <c r="D25" s="10" t="s">
        <v>58</v>
      </c>
      <c r="E25" s="10" t="s">
        <v>59</v>
      </c>
      <c r="F25" s="25">
        <v>0.6</v>
      </c>
      <c r="G25" s="10" t="s">
        <v>156</v>
      </c>
      <c r="H25" s="12">
        <v>43570.647488425922</v>
      </c>
      <c r="I25" s="12"/>
      <c r="J25" s="10" t="s">
        <v>76</v>
      </c>
      <c r="K25" s="10" t="s">
        <v>55</v>
      </c>
      <c r="L25"/>
      <c r="M25"/>
      <c r="N25"/>
      <c r="O25"/>
      <c r="P25"/>
      <c r="Q25"/>
      <c r="R25"/>
      <c r="S25"/>
    </row>
    <row r="26" spans="2:19" x14ac:dyDescent="0.25">
      <c r="B26" s="10">
        <v>1930</v>
      </c>
      <c r="C26" s="10" t="s">
        <v>159</v>
      </c>
      <c r="D26" s="10" t="s">
        <v>58</v>
      </c>
      <c r="E26" s="10" t="s">
        <v>61</v>
      </c>
      <c r="F26" s="25">
        <v>0.4</v>
      </c>
      <c r="G26" s="10" t="s">
        <v>157</v>
      </c>
      <c r="H26" s="12">
        <v>43364.46435185185</v>
      </c>
      <c r="I26" s="12"/>
      <c r="J26" s="10" t="s">
        <v>50</v>
      </c>
      <c r="K26" s="10" t="s">
        <v>55</v>
      </c>
      <c r="L26"/>
      <c r="M26"/>
      <c r="N26"/>
      <c r="O26"/>
      <c r="P26"/>
      <c r="Q26"/>
      <c r="R26"/>
      <c r="S26"/>
    </row>
    <row r="27" spans="2:19" x14ac:dyDescent="0.25">
      <c r="I27"/>
      <c r="J27"/>
      <c r="K27"/>
      <c r="L27"/>
      <c r="M27"/>
      <c r="N27"/>
      <c r="O27"/>
      <c r="P27"/>
      <c r="Q27"/>
      <c r="R27"/>
      <c r="S27"/>
    </row>
    <row r="28" spans="2:19" x14ac:dyDescent="0.25">
      <c r="I28"/>
      <c r="J28"/>
      <c r="K28"/>
      <c r="L28"/>
      <c r="M28"/>
      <c r="N28"/>
      <c r="O28"/>
      <c r="P28"/>
      <c r="Q28"/>
      <c r="R28"/>
      <c r="S28"/>
    </row>
    <row r="29" spans="2:19" x14ac:dyDescent="0.25">
      <c r="I29"/>
      <c r="J29"/>
      <c r="K29"/>
      <c r="L29"/>
      <c r="M29"/>
      <c r="N29"/>
      <c r="O29"/>
      <c r="P29"/>
      <c r="Q29"/>
      <c r="R29"/>
      <c r="S29"/>
    </row>
    <row r="30" spans="2:19" x14ac:dyDescent="0.25">
      <c r="I30"/>
      <c r="J30"/>
      <c r="K30"/>
      <c r="L30"/>
      <c r="M30"/>
      <c r="N30"/>
      <c r="O30"/>
      <c r="P30"/>
      <c r="Q30"/>
      <c r="R30"/>
      <c r="S30"/>
    </row>
    <row r="31" spans="2:19" x14ac:dyDescent="0.25">
      <c r="I31"/>
      <c r="J31"/>
      <c r="K31"/>
      <c r="L31"/>
      <c r="M31"/>
      <c r="N31"/>
      <c r="O31"/>
      <c r="P31"/>
      <c r="Q31"/>
      <c r="R31"/>
      <c r="S31"/>
    </row>
    <row r="32" spans="2:19" x14ac:dyDescent="0.25">
      <c r="I32"/>
      <c r="J32"/>
      <c r="K32"/>
      <c r="L32"/>
      <c r="M32"/>
      <c r="N32"/>
      <c r="O32"/>
      <c r="P32"/>
      <c r="Q32"/>
      <c r="R32"/>
      <c r="S32"/>
    </row>
    <row r="33" spans="9:19" x14ac:dyDescent="0.25">
      <c r="I33"/>
      <c r="J33"/>
      <c r="K33"/>
      <c r="L33"/>
      <c r="M33"/>
      <c r="N33"/>
      <c r="O33"/>
      <c r="P33"/>
      <c r="Q33"/>
      <c r="R33"/>
      <c r="S33"/>
    </row>
    <row r="34" spans="9:19" x14ac:dyDescent="0.25">
      <c r="I34"/>
      <c r="J34"/>
      <c r="K34"/>
      <c r="L34"/>
      <c r="M34"/>
      <c r="N34"/>
      <c r="O34"/>
      <c r="P34"/>
      <c r="Q34"/>
      <c r="R34"/>
      <c r="S34"/>
    </row>
    <row r="35" spans="9:19" x14ac:dyDescent="0.25">
      <c r="I35"/>
      <c r="J35"/>
      <c r="K35"/>
      <c r="L35"/>
      <c r="M35"/>
      <c r="N35"/>
      <c r="O35"/>
      <c r="P35"/>
      <c r="Q35"/>
      <c r="R35"/>
      <c r="S35"/>
    </row>
    <row r="36" spans="9:19" x14ac:dyDescent="0.25">
      <c r="I36"/>
      <c r="J36"/>
      <c r="K36"/>
      <c r="L36"/>
      <c r="M36"/>
      <c r="N36"/>
      <c r="O36"/>
      <c r="P36"/>
      <c r="Q36"/>
      <c r="R36"/>
      <c r="S36"/>
    </row>
    <row r="37" spans="9:19" x14ac:dyDescent="0.25">
      <c r="I37"/>
      <c r="J37"/>
      <c r="K37"/>
      <c r="L37"/>
      <c r="M37"/>
      <c r="N37"/>
      <c r="O37"/>
      <c r="P37"/>
      <c r="Q37"/>
      <c r="R37"/>
      <c r="S37"/>
    </row>
    <row r="38" spans="9:19" x14ac:dyDescent="0.25">
      <c r="I38"/>
      <c r="J38"/>
      <c r="K38"/>
      <c r="L38"/>
      <c r="M38"/>
      <c r="N38"/>
      <c r="O38"/>
      <c r="P38"/>
      <c r="Q38"/>
      <c r="R38"/>
      <c r="S38"/>
    </row>
    <row r="39" spans="9:19" x14ac:dyDescent="0.25">
      <c r="I39"/>
      <c r="J39"/>
      <c r="K39"/>
      <c r="L39"/>
      <c r="M39"/>
      <c r="N39"/>
      <c r="O39"/>
      <c r="P39"/>
      <c r="Q39"/>
      <c r="R39"/>
      <c r="S39"/>
    </row>
    <row r="40" spans="9:19" x14ac:dyDescent="0.25">
      <c r="I40"/>
      <c r="J40"/>
      <c r="K40"/>
      <c r="L40"/>
      <c r="M40"/>
      <c r="N40"/>
      <c r="O40"/>
      <c r="P40"/>
      <c r="Q40"/>
      <c r="R40"/>
      <c r="S40"/>
    </row>
    <row r="41" spans="9:19" x14ac:dyDescent="0.25">
      <c r="I41"/>
      <c r="J41"/>
      <c r="K41"/>
      <c r="L41"/>
      <c r="M41"/>
      <c r="N41"/>
      <c r="O41"/>
      <c r="P41"/>
      <c r="Q41"/>
      <c r="R41"/>
      <c r="S41"/>
    </row>
    <row r="42" spans="9:19" x14ac:dyDescent="0.25">
      <c r="I42"/>
      <c r="J42"/>
      <c r="K42"/>
      <c r="L42"/>
      <c r="M42"/>
      <c r="N42"/>
      <c r="O42"/>
      <c r="P42"/>
      <c r="Q42"/>
      <c r="R42"/>
      <c r="S42"/>
    </row>
    <row r="43" spans="9:19" x14ac:dyDescent="0.25">
      <c r="I43"/>
      <c r="J43"/>
      <c r="K43"/>
      <c r="L43"/>
      <c r="M43"/>
      <c r="N43"/>
      <c r="O43"/>
      <c r="P43"/>
      <c r="Q43"/>
      <c r="R43"/>
      <c r="S43"/>
    </row>
    <row r="44" spans="9:19" x14ac:dyDescent="0.25">
      <c r="I44"/>
      <c r="J44"/>
      <c r="K44"/>
      <c r="L44"/>
      <c r="M44"/>
      <c r="N44"/>
      <c r="O44"/>
      <c r="P44"/>
      <c r="Q44"/>
      <c r="R44"/>
      <c r="S44"/>
    </row>
    <row r="45" spans="9:19" x14ac:dyDescent="0.25">
      <c r="I45"/>
      <c r="J45"/>
      <c r="K45"/>
      <c r="L45"/>
      <c r="M45"/>
      <c r="N45"/>
      <c r="O45"/>
      <c r="P45"/>
      <c r="Q45"/>
      <c r="R45"/>
      <c r="S45"/>
    </row>
    <row r="46" spans="9:19" x14ac:dyDescent="0.25">
      <c r="I46"/>
      <c r="J46"/>
      <c r="K46"/>
      <c r="L46"/>
      <c r="M46"/>
      <c r="N46"/>
      <c r="O46"/>
      <c r="P46"/>
      <c r="Q46"/>
      <c r="R46"/>
      <c r="S46"/>
    </row>
    <row r="47" spans="9:19" x14ac:dyDescent="0.25">
      <c r="I47"/>
      <c r="J47"/>
      <c r="K47"/>
      <c r="L47"/>
      <c r="M47"/>
      <c r="N47"/>
      <c r="O47"/>
      <c r="P47"/>
      <c r="Q47"/>
      <c r="R47"/>
      <c r="S47"/>
    </row>
    <row r="48" spans="9:19" x14ac:dyDescent="0.25">
      <c r="I48"/>
      <c r="J48"/>
      <c r="K48"/>
      <c r="L48"/>
      <c r="M48"/>
      <c r="N48"/>
      <c r="O48"/>
      <c r="P48"/>
      <c r="Q48"/>
      <c r="R48"/>
      <c r="S48"/>
    </row>
    <row r="49" spans="9:19" x14ac:dyDescent="0.25">
      <c r="I49"/>
      <c r="J49"/>
      <c r="K49"/>
      <c r="L49"/>
      <c r="M49"/>
      <c r="N49"/>
      <c r="O49"/>
      <c r="P49"/>
      <c r="Q49"/>
      <c r="R49"/>
      <c r="S49"/>
    </row>
    <row r="50" spans="9:19" x14ac:dyDescent="0.25">
      <c r="I50"/>
      <c r="J50"/>
      <c r="K50"/>
      <c r="L50"/>
      <c r="M50"/>
      <c r="N50"/>
      <c r="O50"/>
      <c r="P50"/>
      <c r="Q50"/>
      <c r="R50"/>
      <c r="S50"/>
    </row>
    <row r="51" spans="9:19" x14ac:dyDescent="0.25">
      <c r="I51"/>
      <c r="J51"/>
      <c r="K51"/>
      <c r="L51"/>
      <c r="M51"/>
      <c r="N51"/>
      <c r="O51"/>
      <c r="P51"/>
      <c r="Q51"/>
      <c r="R51"/>
      <c r="S51"/>
    </row>
    <row r="52" spans="9:19" x14ac:dyDescent="0.25">
      <c r="I52"/>
      <c r="J52"/>
      <c r="K52"/>
      <c r="L52"/>
      <c r="M52"/>
      <c r="N52"/>
      <c r="O52"/>
      <c r="P52"/>
      <c r="Q52"/>
      <c r="R52"/>
      <c r="S52"/>
    </row>
    <row r="53" spans="9:19" x14ac:dyDescent="0.25">
      <c r="I53"/>
      <c r="J53"/>
      <c r="K53"/>
      <c r="L53"/>
      <c r="M53"/>
      <c r="N53"/>
      <c r="O53"/>
      <c r="P53"/>
      <c r="Q53"/>
      <c r="R53"/>
      <c r="S53"/>
    </row>
    <row r="54" spans="9:19" x14ac:dyDescent="0.25">
      <c r="I54"/>
      <c r="J54"/>
      <c r="K54"/>
      <c r="L54"/>
      <c r="M54"/>
      <c r="N54"/>
      <c r="O54"/>
      <c r="P54"/>
      <c r="Q54"/>
      <c r="R54"/>
      <c r="S54"/>
    </row>
    <row r="55" spans="9:19" x14ac:dyDescent="0.25">
      <c r="I55"/>
      <c r="J55"/>
      <c r="K55"/>
      <c r="L55"/>
      <c r="M55"/>
      <c r="N55"/>
      <c r="O55"/>
      <c r="P55"/>
      <c r="Q55"/>
      <c r="R55"/>
      <c r="S55"/>
    </row>
    <row r="56" spans="9:19" x14ac:dyDescent="0.25">
      <c r="I56"/>
      <c r="J56"/>
      <c r="K56"/>
      <c r="L56"/>
      <c r="M56"/>
      <c r="N56"/>
      <c r="O56"/>
      <c r="P56"/>
      <c r="Q56"/>
      <c r="R56"/>
      <c r="S56"/>
    </row>
    <row r="57" spans="9:19" x14ac:dyDescent="0.25">
      <c r="I57"/>
      <c r="J57"/>
      <c r="K57"/>
      <c r="L57"/>
      <c r="M57"/>
      <c r="N57"/>
      <c r="O57"/>
      <c r="P57"/>
      <c r="Q57"/>
      <c r="R57"/>
      <c r="S57"/>
    </row>
    <row r="58" spans="9:19" x14ac:dyDescent="0.25">
      <c r="I58"/>
      <c r="J58"/>
      <c r="K58"/>
      <c r="L58"/>
      <c r="M58"/>
      <c r="N58"/>
      <c r="O58"/>
      <c r="P58"/>
      <c r="Q58"/>
      <c r="R58"/>
      <c r="S58"/>
    </row>
    <row r="59" spans="9:19" x14ac:dyDescent="0.25">
      <c r="I59"/>
      <c r="J59"/>
      <c r="K59"/>
      <c r="L59"/>
      <c r="M59"/>
      <c r="N59"/>
      <c r="O59"/>
      <c r="P59"/>
      <c r="Q59"/>
      <c r="R59"/>
      <c r="S59"/>
    </row>
    <row r="96" spans="8:9" x14ac:dyDescent="0.25">
      <c r="H96" s="32"/>
      <c r="I96" s="16"/>
    </row>
  </sheetData>
  <autoFilter ref="B8:K8" xr:uid="{00000000-0009-0000-0000-000008000000}"/>
  <mergeCells count="1">
    <mergeCell ref="B2:K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>
    <tabColor rgb="FF35BEE9"/>
  </sheetPr>
  <dimension ref="B1:S35"/>
  <sheetViews>
    <sheetView showGridLines="0" zoomScale="90" zoomScaleNormal="90" workbookViewId="0">
      <pane ySplit="7" topLeftCell="A8" activePane="bottomLeft" state="frozen"/>
      <selection activeCell="C5" sqref="C5:C6"/>
      <selection pane="bottomLeft" activeCell="C10" sqref="C10"/>
    </sheetView>
  </sheetViews>
  <sheetFormatPr defaultColWidth="9.140625" defaultRowHeight="15" x14ac:dyDescent="0.25"/>
  <cols>
    <col min="1" max="1" width="4.42578125" style="1" customWidth="1"/>
    <col min="2" max="2" width="9.28515625" bestFit="1" customWidth="1"/>
    <col min="3" max="3" width="54.85546875" customWidth="1"/>
    <col min="4" max="4" width="13.5703125" bestFit="1" customWidth="1"/>
    <col min="5" max="5" width="22.28515625" bestFit="1" customWidth="1"/>
    <col min="6" max="6" width="13" customWidth="1"/>
    <col min="7" max="7" width="22.85546875" bestFit="1" customWidth="1"/>
    <col min="8" max="8" width="15.85546875" bestFit="1" customWidth="1"/>
    <col min="9" max="9" width="16" style="16" customWidth="1"/>
    <col min="10" max="10" width="17.42578125" style="1" bestFit="1" customWidth="1"/>
    <col min="11" max="11" width="20.28515625" style="1" bestFit="1" customWidth="1"/>
    <col min="12" max="12" width="11.28515625" style="1" customWidth="1"/>
    <col min="13" max="16384" width="9.140625" style="1"/>
  </cols>
  <sheetData>
    <row r="1" spans="2:19" hidden="1" x14ac:dyDescent="0.25">
      <c r="B1" s="10"/>
      <c r="C1" s="10"/>
      <c r="D1" s="10"/>
      <c r="E1" s="10"/>
      <c r="F1" s="25"/>
      <c r="G1" s="10"/>
      <c r="H1" s="11"/>
      <c r="I1" s="12"/>
      <c r="J1" s="10"/>
      <c r="K1" s="10"/>
      <c r="L1" s="13"/>
    </row>
    <row r="2" spans="2:19" ht="33" customHeight="1" x14ac:dyDescent="0.25">
      <c r="B2" s="45" t="s">
        <v>32</v>
      </c>
      <c r="C2" s="44"/>
      <c r="D2" s="44"/>
      <c r="E2" s="44"/>
      <c r="F2" s="44"/>
      <c r="G2" s="44"/>
      <c r="H2" s="44"/>
      <c r="I2" s="44"/>
      <c r="J2" s="44"/>
      <c r="K2" s="44"/>
      <c r="L2" s="44"/>
    </row>
    <row r="3" spans="2:19" x14ac:dyDescent="0.25">
      <c r="B3" s="3"/>
      <c r="C3" s="3"/>
      <c r="D3" s="2"/>
      <c r="E3" s="8"/>
      <c r="F3" s="30"/>
      <c r="G3" s="1"/>
      <c r="H3" s="16"/>
    </row>
    <row r="4" spans="2:19" ht="15.75" x14ac:dyDescent="0.25">
      <c r="B4" s="7" t="s">
        <v>15</v>
      </c>
      <c r="C4" s="5" t="s">
        <v>33</v>
      </c>
      <c r="D4" s="2"/>
      <c r="E4" s="8"/>
      <c r="F4" s="30"/>
      <c r="G4" s="1"/>
      <c r="H4" s="16"/>
    </row>
    <row r="5" spans="2:19" ht="15.75" x14ac:dyDescent="0.25">
      <c r="B5" s="7" t="s">
        <v>16</v>
      </c>
      <c r="C5" s="5" t="s">
        <v>127</v>
      </c>
      <c r="D5" s="2"/>
      <c r="E5" s="8"/>
      <c r="F5" s="30"/>
      <c r="G5" s="1"/>
      <c r="H5" s="16"/>
    </row>
    <row r="6" spans="2:19" ht="15.75" x14ac:dyDescent="0.25">
      <c r="B6" s="7" t="s">
        <v>17</v>
      </c>
      <c r="C6" s="6">
        <v>44014.492418981485</v>
      </c>
      <c r="D6" s="2"/>
      <c r="E6" s="8"/>
      <c r="F6" s="30"/>
      <c r="G6" s="1"/>
      <c r="H6" s="16"/>
    </row>
    <row r="7" spans="2:19" x14ac:dyDescent="0.25">
      <c r="B7" s="1"/>
      <c r="C7" s="1"/>
      <c r="D7" s="1"/>
      <c r="E7" s="8"/>
      <c r="F7" s="30"/>
      <c r="G7" s="1"/>
      <c r="H7" s="16"/>
    </row>
    <row r="8" spans="2:19" x14ac:dyDescent="0.25">
      <c r="B8" s="14" t="s">
        <v>0</v>
      </c>
      <c r="C8" s="14" t="s">
        <v>1</v>
      </c>
      <c r="D8" s="14" t="s">
        <v>2</v>
      </c>
      <c r="E8" s="14" t="s">
        <v>3</v>
      </c>
      <c r="F8" s="19" t="s">
        <v>40</v>
      </c>
      <c r="G8" s="14" t="s">
        <v>6</v>
      </c>
      <c r="H8" s="17" t="s">
        <v>7</v>
      </c>
      <c r="I8" s="17" t="s">
        <v>12</v>
      </c>
      <c r="J8" s="14" t="s">
        <v>10</v>
      </c>
      <c r="K8" s="14" t="s">
        <v>8</v>
      </c>
      <c r="L8" s="14" t="s">
        <v>5</v>
      </c>
    </row>
    <row r="9" spans="2:19" x14ac:dyDescent="0.25">
      <c r="B9" s="10">
        <v>4348</v>
      </c>
      <c r="C9" s="10" t="s">
        <v>150</v>
      </c>
      <c r="D9" s="10" t="s">
        <v>58</v>
      </c>
      <c r="E9" s="10" t="s">
        <v>59</v>
      </c>
      <c r="F9" s="25"/>
      <c r="G9" s="10" t="s">
        <v>152</v>
      </c>
      <c r="H9" s="11">
        <v>44013.641712962963</v>
      </c>
      <c r="I9" s="12"/>
      <c r="J9" s="10" t="s">
        <v>49</v>
      </c>
      <c r="K9" s="10"/>
      <c r="L9" s="13"/>
      <c r="M9"/>
      <c r="N9"/>
      <c r="O9"/>
      <c r="P9"/>
      <c r="Q9"/>
      <c r="R9"/>
      <c r="S9"/>
    </row>
    <row r="10" spans="2:19" x14ac:dyDescent="0.25">
      <c r="B10" s="10">
        <v>4019</v>
      </c>
      <c r="C10" s="10" t="s">
        <v>151</v>
      </c>
      <c r="D10" s="10" t="s">
        <v>58</v>
      </c>
      <c r="E10" s="10" t="s">
        <v>59</v>
      </c>
      <c r="F10" s="25"/>
      <c r="G10" s="10" t="s">
        <v>153</v>
      </c>
      <c r="H10" s="11">
        <v>43934.494976851849</v>
      </c>
      <c r="I10" s="12"/>
      <c r="J10" s="10" t="s">
        <v>107</v>
      </c>
      <c r="K10" s="10" t="s">
        <v>55</v>
      </c>
      <c r="L10" s="13"/>
      <c r="M10"/>
      <c r="N10"/>
      <c r="O10"/>
      <c r="P10"/>
      <c r="Q10"/>
      <c r="R10"/>
      <c r="S10"/>
    </row>
    <row r="11" spans="2:19" x14ac:dyDescent="0.25">
      <c r="B11" s="10">
        <v>4011</v>
      </c>
      <c r="C11" s="10" t="s">
        <v>158</v>
      </c>
      <c r="D11" s="10" t="s">
        <v>58</v>
      </c>
      <c r="E11" s="10" t="s">
        <v>59</v>
      </c>
      <c r="F11" s="25"/>
      <c r="G11" s="10" t="s">
        <v>154</v>
      </c>
      <c r="H11" s="11">
        <v>43930.646296296298</v>
      </c>
      <c r="I11" s="12"/>
      <c r="J11" s="10" t="s">
        <v>9</v>
      </c>
      <c r="K11" s="10" t="s">
        <v>51</v>
      </c>
      <c r="L11" s="13"/>
      <c r="M11"/>
      <c r="N11"/>
      <c r="O11"/>
      <c r="P11"/>
      <c r="Q11"/>
      <c r="R11"/>
      <c r="S11"/>
    </row>
    <row r="12" spans="2:19" x14ac:dyDescent="0.25">
      <c r="B12" s="10">
        <v>3999</v>
      </c>
      <c r="C12" s="10" t="s">
        <v>159</v>
      </c>
      <c r="D12" s="10" t="s">
        <v>58</v>
      </c>
      <c r="E12" s="10" t="s">
        <v>59</v>
      </c>
      <c r="F12" s="25"/>
      <c r="G12" s="10" t="s">
        <v>155</v>
      </c>
      <c r="H12" s="11">
        <v>43929.453715277778</v>
      </c>
      <c r="I12" s="12"/>
      <c r="J12" s="10"/>
      <c r="K12" s="10"/>
      <c r="L12" s="13"/>
      <c r="M12"/>
      <c r="N12"/>
      <c r="O12"/>
      <c r="P12"/>
      <c r="Q12"/>
      <c r="R12"/>
      <c r="S12"/>
    </row>
    <row r="13" spans="2:19" x14ac:dyDescent="0.25">
      <c r="I13"/>
      <c r="J13"/>
      <c r="K13"/>
      <c r="L13"/>
      <c r="M13"/>
      <c r="N13"/>
      <c r="O13"/>
      <c r="P13"/>
      <c r="Q13"/>
      <c r="R13"/>
      <c r="S13"/>
    </row>
    <row r="14" spans="2:19" x14ac:dyDescent="0.25">
      <c r="I14"/>
      <c r="J14"/>
      <c r="K14"/>
      <c r="L14"/>
      <c r="M14"/>
      <c r="N14"/>
      <c r="O14"/>
      <c r="P14"/>
      <c r="Q14"/>
      <c r="R14"/>
      <c r="S14"/>
    </row>
    <row r="15" spans="2:19" x14ac:dyDescent="0.25">
      <c r="I15"/>
      <c r="J15"/>
      <c r="K15"/>
      <c r="L15"/>
      <c r="M15"/>
      <c r="N15"/>
      <c r="O15"/>
      <c r="P15"/>
      <c r="Q15"/>
      <c r="R15"/>
      <c r="S15"/>
    </row>
    <row r="16" spans="2:19" x14ac:dyDescent="0.25">
      <c r="I16"/>
      <c r="J16"/>
      <c r="K16"/>
      <c r="L16"/>
      <c r="M16"/>
      <c r="N16"/>
      <c r="O16"/>
      <c r="P16"/>
      <c r="Q16"/>
      <c r="R16"/>
      <c r="S16"/>
    </row>
    <row r="31" spans="18:18" x14ac:dyDescent="0.25">
      <c r="R31" s="33"/>
    </row>
    <row r="32" spans="18:18" x14ac:dyDescent="0.25">
      <c r="R32" s="33"/>
    </row>
    <row r="33" spans="18:18" x14ac:dyDescent="0.25">
      <c r="R33" s="33"/>
    </row>
    <row r="34" spans="18:18" x14ac:dyDescent="0.25">
      <c r="R34" s="33"/>
    </row>
    <row r="35" spans="18:18" x14ac:dyDescent="0.25">
      <c r="R35" s="33"/>
    </row>
  </sheetData>
  <autoFilter ref="B8:L8" xr:uid="{00000000-0009-0000-0000-000009000000}"/>
  <mergeCells count="1">
    <mergeCell ref="B2:L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22">
    <tabColor rgb="FF35BEE9"/>
  </sheetPr>
  <dimension ref="B1:S22"/>
  <sheetViews>
    <sheetView showGridLines="0" workbookViewId="0">
      <pane ySplit="7" topLeftCell="A8" activePane="bottomLeft" state="frozen"/>
      <selection activeCell="C8" sqref="A8:XFD8"/>
      <selection pane="bottomLeft" activeCell="C16" sqref="C16"/>
    </sheetView>
  </sheetViews>
  <sheetFormatPr defaultColWidth="9.140625" defaultRowHeight="15" x14ac:dyDescent="0.25"/>
  <cols>
    <col min="1" max="1" width="4.42578125" style="1" customWidth="1"/>
    <col min="2" max="2" width="9.28515625" bestFit="1" customWidth="1"/>
    <col min="3" max="3" width="37.28515625" bestFit="1" customWidth="1"/>
    <col min="4" max="4" width="22.42578125" bestFit="1" customWidth="1"/>
    <col min="5" max="5" width="20.140625" customWidth="1"/>
    <col min="6" max="6" width="11" customWidth="1"/>
    <col min="7" max="7" width="22.85546875" bestFit="1" customWidth="1"/>
    <col min="8" max="8" width="14" customWidth="1"/>
    <col min="9" max="9" width="12.42578125" style="1" customWidth="1"/>
    <col min="10" max="10" width="19.7109375" style="1" bestFit="1" customWidth="1"/>
    <col min="11" max="11" width="17.42578125" style="1" bestFit="1" customWidth="1"/>
    <col min="12" max="16384" width="9.140625" style="1"/>
  </cols>
  <sheetData>
    <row r="1" spans="2:19" hidden="1" x14ac:dyDescent="0.25">
      <c r="B1" s="10"/>
      <c r="C1" s="10"/>
      <c r="D1" s="10"/>
      <c r="E1" s="10"/>
      <c r="F1" s="10"/>
      <c r="G1" s="10"/>
      <c r="H1" s="12"/>
      <c r="I1" s="12"/>
      <c r="J1" s="10"/>
      <c r="K1" s="13"/>
    </row>
    <row r="2" spans="2:19" ht="33" customHeight="1" x14ac:dyDescent="0.25">
      <c r="B2" s="45" t="s">
        <v>35</v>
      </c>
      <c r="C2" s="44"/>
      <c r="D2" s="44"/>
      <c r="E2" s="44"/>
      <c r="F2" s="44"/>
      <c r="G2" s="44"/>
      <c r="H2" s="44"/>
      <c r="I2" s="44"/>
      <c r="J2" s="44"/>
      <c r="K2" s="44"/>
    </row>
    <row r="3" spans="2:19" x14ac:dyDescent="0.25">
      <c r="B3" s="3"/>
      <c r="C3" s="3"/>
      <c r="D3" s="2"/>
      <c r="E3" s="1"/>
      <c r="F3" s="8"/>
      <c r="G3" s="1"/>
      <c r="H3" s="1"/>
    </row>
    <row r="4" spans="2:19" ht="15.75" x14ac:dyDescent="0.25">
      <c r="B4" s="7" t="s">
        <v>15</v>
      </c>
      <c r="C4" s="5" t="s">
        <v>30</v>
      </c>
      <c r="D4" s="2"/>
      <c r="E4" s="1"/>
      <c r="F4" s="8"/>
      <c r="G4" s="1"/>
      <c r="H4" s="1"/>
    </row>
    <row r="5" spans="2:19" ht="15.75" x14ac:dyDescent="0.25">
      <c r="B5" s="7" t="s">
        <v>16</v>
      </c>
      <c r="C5" s="5" t="s">
        <v>127</v>
      </c>
      <c r="D5" s="2"/>
      <c r="E5" s="1"/>
      <c r="F5" s="8"/>
      <c r="G5" s="1"/>
      <c r="H5" s="1"/>
    </row>
    <row r="6" spans="2:19" ht="15.75" x14ac:dyDescent="0.25">
      <c r="B6" s="7" t="s">
        <v>17</v>
      </c>
      <c r="C6" s="6">
        <v>44014.492418981485</v>
      </c>
      <c r="D6" s="2"/>
      <c r="E6" s="1"/>
      <c r="F6" s="8"/>
      <c r="G6" s="1"/>
      <c r="H6" s="1"/>
    </row>
    <row r="7" spans="2:19" x14ac:dyDescent="0.25">
      <c r="B7" s="1"/>
      <c r="C7" s="1"/>
      <c r="D7" s="1"/>
      <c r="E7" s="1"/>
      <c r="F7" s="8"/>
      <c r="G7" s="1"/>
      <c r="H7" s="1"/>
    </row>
    <row r="8" spans="2:19" x14ac:dyDescent="0.25">
      <c r="B8" s="14" t="s">
        <v>0</v>
      </c>
      <c r="C8" s="14" t="s">
        <v>1</v>
      </c>
      <c r="D8" s="14" t="s">
        <v>2</v>
      </c>
      <c r="E8" s="14" t="s">
        <v>3</v>
      </c>
      <c r="F8" s="14" t="s">
        <v>40</v>
      </c>
      <c r="G8" s="14" t="s">
        <v>6</v>
      </c>
      <c r="H8" s="14" t="s">
        <v>7</v>
      </c>
      <c r="I8" s="14" t="s">
        <v>12</v>
      </c>
      <c r="J8" s="14" t="s">
        <v>10</v>
      </c>
      <c r="K8" s="14" t="s">
        <v>8</v>
      </c>
    </row>
    <row r="9" spans="2:19" x14ac:dyDescent="0.25">
      <c r="B9" s="10">
        <v>4364</v>
      </c>
      <c r="C9" s="10" t="s">
        <v>151</v>
      </c>
      <c r="D9" s="10" t="s">
        <v>58</v>
      </c>
      <c r="E9" s="10" t="s">
        <v>59</v>
      </c>
      <c r="F9" s="10"/>
      <c r="G9" s="10" t="s">
        <v>152</v>
      </c>
      <c r="H9" s="12">
        <v>44014.376469907409</v>
      </c>
      <c r="I9" s="12"/>
      <c r="J9" s="10" t="s">
        <v>50</v>
      </c>
      <c r="K9" s="13"/>
      <c r="L9"/>
      <c r="M9"/>
      <c r="N9"/>
      <c r="O9"/>
      <c r="P9"/>
      <c r="Q9"/>
      <c r="R9"/>
      <c r="S9"/>
    </row>
    <row r="10" spans="2:19" x14ac:dyDescent="0.25">
      <c r="B10" s="10">
        <v>4362</v>
      </c>
      <c r="C10" s="10" t="s">
        <v>158</v>
      </c>
      <c r="D10" s="10" t="s">
        <v>58</v>
      </c>
      <c r="E10" s="10" t="s">
        <v>59</v>
      </c>
      <c r="F10" s="10"/>
      <c r="G10" s="10" t="s">
        <v>153</v>
      </c>
      <c r="H10" s="12">
        <v>44014.376342592594</v>
      </c>
      <c r="I10" s="12"/>
      <c r="J10" s="10" t="s">
        <v>50</v>
      </c>
      <c r="K10" s="13"/>
      <c r="L10"/>
      <c r="M10"/>
      <c r="N10"/>
      <c r="O10"/>
      <c r="P10"/>
      <c r="Q10"/>
      <c r="R10"/>
      <c r="S10"/>
    </row>
    <row r="11" spans="2:19" x14ac:dyDescent="0.25">
      <c r="B11" s="10">
        <v>4360</v>
      </c>
      <c r="C11" s="10" t="s">
        <v>159</v>
      </c>
      <c r="D11" s="10" t="s">
        <v>58</v>
      </c>
      <c r="E11" s="10" t="s">
        <v>59</v>
      </c>
      <c r="F11" s="10"/>
      <c r="G11" s="10" t="s">
        <v>154</v>
      </c>
      <c r="H11" s="12">
        <v>44014.376215277778</v>
      </c>
      <c r="I11" s="12"/>
      <c r="J11" s="10" t="s">
        <v>50</v>
      </c>
      <c r="K11" s="13"/>
      <c r="L11"/>
      <c r="M11"/>
      <c r="N11"/>
      <c r="O11"/>
      <c r="P11"/>
      <c r="Q11"/>
      <c r="R11"/>
      <c r="S11"/>
    </row>
    <row r="12" spans="2:19" x14ac:dyDescent="0.25">
      <c r="B12" s="10">
        <v>4358</v>
      </c>
      <c r="C12" s="10" t="s">
        <v>160</v>
      </c>
      <c r="D12" s="10" t="s">
        <v>58</v>
      </c>
      <c r="E12" s="10" t="s">
        <v>59</v>
      </c>
      <c r="F12" s="10"/>
      <c r="G12" s="10" t="s">
        <v>155</v>
      </c>
      <c r="H12" s="12">
        <v>44014.376099537039</v>
      </c>
      <c r="I12" s="12"/>
      <c r="J12" s="10" t="s">
        <v>50</v>
      </c>
      <c r="K12" s="13"/>
      <c r="L12"/>
      <c r="M12"/>
      <c r="N12"/>
      <c r="O12"/>
      <c r="P12"/>
      <c r="Q12"/>
      <c r="R12"/>
      <c r="S12"/>
    </row>
    <row r="13" spans="2:19" x14ac:dyDescent="0.25">
      <c r="B13" s="10">
        <v>4356</v>
      </c>
      <c r="C13" s="10" t="s">
        <v>161</v>
      </c>
      <c r="D13" s="10" t="s">
        <v>58</v>
      </c>
      <c r="E13" s="10" t="s">
        <v>59</v>
      </c>
      <c r="F13" s="10"/>
      <c r="G13" s="10" t="s">
        <v>156</v>
      </c>
      <c r="H13" s="12">
        <v>44014.375821759262</v>
      </c>
      <c r="I13" s="12"/>
      <c r="J13" s="10" t="s">
        <v>50</v>
      </c>
      <c r="K13" s="13"/>
      <c r="L13"/>
      <c r="M13"/>
      <c r="N13"/>
      <c r="O13"/>
      <c r="P13"/>
      <c r="Q13"/>
      <c r="R13"/>
      <c r="S13"/>
    </row>
    <row r="14" spans="2:19" x14ac:dyDescent="0.25">
      <c r="B14" s="10">
        <v>4354</v>
      </c>
      <c r="C14" s="10" t="s">
        <v>162</v>
      </c>
      <c r="D14" s="10" t="s">
        <v>58</v>
      </c>
      <c r="E14" s="10" t="s">
        <v>59</v>
      </c>
      <c r="F14" s="10"/>
      <c r="G14" s="10" t="s">
        <v>157</v>
      </c>
      <c r="H14" s="12">
        <v>44014.375601851854</v>
      </c>
      <c r="I14" s="12"/>
      <c r="J14" s="10" t="s">
        <v>50</v>
      </c>
      <c r="K14" s="13"/>
      <c r="L14"/>
      <c r="M14"/>
      <c r="N14"/>
      <c r="O14"/>
      <c r="P14"/>
      <c r="Q14"/>
      <c r="R14"/>
      <c r="S14"/>
    </row>
    <row r="15" spans="2:19" x14ac:dyDescent="0.25">
      <c r="B15" s="10">
        <v>4348</v>
      </c>
      <c r="C15" s="10" t="s">
        <v>163</v>
      </c>
      <c r="D15" s="10" t="s">
        <v>58</v>
      </c>
      <c r="E15" s="10" t="s">
        <v>59</v>
      </c>
      <c r="F15" s="10"/>
      <c r="G15" s="10" t="s">
        <v>152</v>
      </c>
      <c r="H15" s="12">
        <v>44013.641712962963</v>
      </c>
      <c r="I15" s="12"/>
      <c r="J15" s="10" t="s">
        <v>49</v>
      </c>
      <c r="K15" s="13"/>
      <c r="L15"/>
      <c r="M15"/>
      <c r="N15"/>
      <c r="O15"/>
      <c r="P15"/>
      <c r="Q15"/>
      <c r="R15"/>
      <c r="S15"/>
    </row>
    <row r="16" spans="2:19" x14ac:dyDescent="0.25">
      <c r="B16" s="10">
        <v>3999</v>
      </c>
      <c r="C16" s="10" t="s">
        <v>164</v>
      </c>
      <c r="D16" s="10" t="s">
        <v>58</v>
      </c>
      <c r="E16" s="10" t="s">
        <v>59</v>
      </c>
      <c r="F16" s="10"/>
      <c r="G16" s="10" t="s">
        <v>153</v>
      </c>
      <c r="H16" s="12">
        <v>43929.453715277778</v>
      </c>
      <c r="I16" s="12"/>
      <c r="J16" s="10"/>
      <c r="K16" s="13"/>
      <c r="L16"/>
      <c r="M16"/>
      <c r="N16"/>
      <c r="O16"/>
      <c r="P16"/>
      <c r="Q16"/>
      <c r="R16"/>
      <c r="S16"/>
    </row>
    <row r="17" spans="9:19" x14ac:dyDescent="0.25">
      <c r="I17"/>
      <c r="J17"/>
      <c r="K17"/>
      <c r="L17"/>
      <c r="M17"/>
      <c r="N17"/>
      <c r="O17"/>
      <c r="P17"/>
      <c r="Q17"/>
      <c r="R17"/>
      <c r="S17"/>
    </row>
    <row r="18" spans="9:19" x14ac:dyDescent="0.25">
      <c r="I18"/>
      <c r="J18"/>
      <c r="K18"/>
      <c r="L18"/>
      <c r="M18"/>
      <c r="N18"/>
      <c r="O18"/>
      <c r="P18"/>
      <c r="Q18"/>
      <c r="R18"/>
      <c r="S18"/>
    </row>
    <row r="19" spans="9:19" x14ac:dyDescent="0.25">
      <c r="I19"/>
      <c r="J19"/>
      <c r="K19"/>
      <c r="L19"/>
      <c r="M19"/>
      <c r="N19"/>
      <c r="O19"/>
      <c r="P19"/>
      <c r="Q19"/>
      <c r="R19"/>
      <c r="S19"/>
    </row>
    <row r="20" spans="9:19" x14ac:dyDescent="0.25">
      <c r="I20"/>
      <c r="J20"/>
      <c r="K20"/>
      <c r="L20"/>
      <c r="M20"/>
      <c r="N20"/>
      <c r="O20"/>
      <c r="P20"/>
      <c r="Q20"/>
      <c r="R20"/>
      <c r="S20"/>
    </row>
    <row r="21" spans="9:19" x14ac:dyDescent="0.25">
      <c r="I21"/>
      <c r="J21"/>
      <c r="K21"/>
      <c r="L21"/>
      <c r="M21"/>
      <c r="N21"/>
      <c r="O21"/>
      <c r="P21"/>
      <c r="Q21"/>
      <c r="R21"/>
      <c r="S21"/>
    </row>
    <row r="22" spans="9:19" x14ac:dyDescent="0.25">
      <c r="I22"/>
      <c r="J22"/>
      <c r="K22"/>
      <c r="L22"/>
      <c r="M22"/>
      <c r="N22"/>
      <c r="O22"/>
      <c r="P22"/>
      <c r="Q22"/>
      <c r="R22"/>
      <c r="S22"/>
    </row>
  </sheetData>
  <autoFilter ref="B8:K8" xr:uid="{00000000-0009-0000-0000-00000A000000}"/>
  <mergeCells count="1">
    <mergeCell ref="B2:K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6">
    <tabColor rgb="FF35BEE9"/>
  </sheetPr>
  <dimension ref="B1:S28"/>
  <sheetViews>
    <sheetView showGridLines="0" workbookViewId="0">
      <pane ySplit="7" topLeftCell="A11" activePane="bottomLeft" state="frozen"/>
      <selection activeCell="C8" sqref="A8:XFD8"/>
      <selection pane="bottomLeft" activeCell="R9" sqref="R9"/>
    </sheetView>
  </sheetViews>
  <sheetFormatPr defaultColWidth="9.140625" defaultRowHeight="15" x14ac:dyDescent="0.25"/>
  <cols>
    <col min="1" max="1" width="4.42578125" style="1" customWidth="1"/>
    <col min="2" max="2" width="9.28515625" bestFit="1" customWidth="1"/>
    <col min="3" max="3" width="54.85546875" customWidth="1"/>
    <col min="4" max="4" width="13.5703125" bestFit="1" customWidth="1"/>
    <col min="5" max="5" width="19.5703125" bestFit="1" customWidth="1"/>
    <col min="6" max="6" width="15.85546875" bestFit="1" customWidth="1"/>
    <col min="7" max="7" width="14.140625" customWidth="1"/>
    <col min="8" max="8" width="13" customWidth="1"/>
    <col min="9" max="9" width="13.7109375" style="1" bestFit="1" customWidth="1"/>
    <col min="10" max="10" width="16" style="1" customWidth="1"/>
    <col min="11" max="11" width="37.42578125" style="1" bestFit="1" customWidth="1"/>
    <col min="12" max="17" width="9.140625" style="1"/>
    <col min="18" max="18" width="19.5703125" bestFit="1" customWidth="1"/>
    <col min="19" max="16384" width="9.140625" style="1"/>
  </cols>
  <sheetData>
    <row r="1" spans="2:19" hidden="1" x14ac:dyDescent="0.25">
      <c r="B1" s="10"/>
      <c r="C1" s="10"/>
      <c r="D1" s="10"/>
      <c r="E1" s="10"/>
      <c r="F1" s="29"/>
      <c r="G1" s="12"/>
      <c r="H1" s="12"/>
      <c r="I1" s="10"/>
      <c r="J1" s="10"/>
      <c r="K1" s="10"/>
      <c r="L1" s="13"/>
      <c r="R1" s="10"/>
    </row>
    <row r="2" spans="2:19" ht="33" customHeight="1" x14ac:dyDescent="0.25">
      <c r="B2" s="45" t="s">
        <v>23</v>
      </c>
      <c r="C2" s="44"/>
      <c r="D2" s="44"/>
      <c r="E2" s="44"/>
      <c r="F2" s="44"/>
      <c r="G2" s="44"/>
      <c r="H2" s="44"/>
      <c r="I2" s="44"/>
      <c r="J2" s="44"/>
      <c r="K2" s="44"/>
      <c r="L2" s="44"/>
    </row>
    <row r="3" spans="2:19" x14ac:dyDescent="0.25">
      <c r="B3" s="3"/>
      <c r="C3" s="3"/>
      <c r="D3" s="2"/>
      <c r="E3" s="1"/>
      <c r="F3" s="18"/>
      <c r="G3" s="1"/>
      <c r="H3" s="1"/>
    </row>
    <row r="4" spans="2:19" ht="15.75" x14ac:dyDescent="0.25">
      <c r="B4" s="7" t="s">
        <v>15</v>
      </c>
      <c r="C4" s="5" t="s">
        <v>34</v>
      </c>
      <c r="D4" s="2"/>
      <c r="E4" s="1"/>
      <c r="F4" s="18"/>
      <c r="G4" s="1"/>
      <c r="H4" s="1"/>
    </row>
    <row r="5" spans="2:19" ht="15.75" x14ac:dyDescent="0.25">
      <c r="B5" s="7" t="s">
        <v>16</v>
      </c>
      <c r="C5" s="5" t="s">
        <v>128</v>
      </c>
      <c r="D5" s="2"/>
      <c r="E5" s="1"/>
      <c r="F5" s="18"/>
      <c r="G5" s="1"/>
      <c r="H5" s="1"/>
    </row>
    <row r="6" spans="2:19" ht="15.75" x14ac:dyDescent="0.25">
      <c r="B6" s="7" t="s">
        <v>17</v>
      </c>
      <c r="C6" s="6">
        <v>44014.492430555554</v>
      </c>
      <c r="D6" s="2"/>
      <c r="E6" s="1"/>
      <c r="F6" s="18"/>
      <c r="G6" s="1"/>
      <c r="H6" s="1"/>
    </row>
    <row r="7" spans="2:19" x14ac:dyDescent="0.25">
      <c r="B7" s="1"/>
      <c r="C7" s="1"/>
      <c r="D7" s="1"/>
      <c r="E7" s="1"/>
      <c r="F7" s="18"/>
      <c r="G7" s="1"/>
      <c r="H7" s="1"/>
    </row>
    <row r="8" spans="2:19" x14ac:dyDescent="0.25">
      <c r="B8" s="14" t="s">
        <v>0</v>
      </c>
      <c r="C8" s="14" t="s">
        <v>1</v>
      </c>
      <c r="D8" s="38" t="s">
        <v>2</v>
      </c>
      <c r="E8" s="42" t="s">
        <v>3</v>
      </c>
      <c r="F8" s="40" t="s">
        <v>6</v>
      </c>
      <c r="G8" s="14" t="s">
        <v>7</v>
      </c>
      <c r="H8" s="14" t="s">
        <v>12</v>
      </c>
      <c r="I8" s="14" t="s">
        <v>10</v>
      </c>
      <c r="J8" s="14" t="s">
        <v>8</v>
      </c>
      <c r="K8" s="14" t="s">
        <v>5</v>
      </c>
      <c r="L8" s="14" t="s">
        <v>4</v>
      </c>
    </row>
    <row r="9" spans="2:19" x14ac:dyDescent="0.25">
      <c r="B9" s="10">
        <v>4127</v>
      </c>
      <c r="C9" s="10" t="s">
        <v>164</v>
      </c>
      <c r="D9" s="39" t="s">
        <v>58</v>
      </c>
      <c r="E9" s="43" t="s">
        <v>59</v>
      </c>
      <c r="F9" s="41" t="s">
        <v>156</v>
      </c>
      <c r="G9" s="12">
        <v>43962.490300925929</v>
      </c>
      <c r="H9" s="12"/>
      <c r="I9" s="10" t="s">
        <v>86</v>
      </c>
      <c r="J9" s="10" t="s">
        <v>85</v>
      </c>
      <c r="K9" s="10" t="s">
        <v>248</v>
      </c>
      <c r="L9" s="13"/>
      <c r="M9"/>
      <c r="N9"/>
      <c r="O9"/>
      <c r="P9"/>
      <c r="Q9"/>
      <c r="S9"/>
    </row>
    <row r="10" spans="2:19" x14ac:dyDescent="0.25">
      <c r="B10" s="10">
        <v>4103</v>
      </c>
      <c r="C10" s="10" t="s">
        <v>165</v>
      </c>
      <c r="D10" s="39" t="s">
        <v>58</v>
      </c>
      <c r="E10" s="43" t="s">
        <v>63</v>
      </c>
      <c r="F10" s="41" t="s">
        <v>157</v>
      </c>
      <c r="G10" s="12">
        <v>43956.635254629633</v>
      </c>
      <c r="H10" s="12"/>
      <c r="I10" s="10" t="s">
        <v>9</v>
      </c>
      <c r="J10" s="10" t="s">
        <v>52</v>
      </c>
      <c r="K10" s="10" t="s">
        <v>249</v>
      </c>
      <c r="L10" s="13"/>
      <c r="M10"/>
      <c r="N10"/>
      <c r="O10"/>
      <c r="P10"/>
      <c r="Q10"/>
      <c r="S10"/>
    </row>
    <row r="11" spans="2:19" x14ac:dyDescent="0.25">
      <c r="B11" s="10">
        <v>4260</v>
      </c>
      <c r="C11" s="10" t="s">
        <v>166</v>
      </c>
      <c r="D11" s="39" t="s">
        <v>58</v>
      </c>
      <c r="E11" s="43" t="s">
        <v>60</v>
      </c>
      <c r="F11" s="41" t="s">
        <v>153</v>
      </c>
      <c r="G11" s="12">
        <v>43992.618067129632</v>
      </c>
      <c r="H11" s="12">
        <v>44032</v>
      </c>
      <c r="I11" s="10" t="s">
        <v>50</v>
      </c>
      <c r="J11" s="10" t="s">
        <v>51</v>
      </c>
      <c r="K11" s="10" t="s">
        <v>251</v>
      </c>
      <c r="L11" s="13"/>
      <c r="M11"/>
      <c r="N11"/>
      <c r="O11"/>
      <c r="P11"/>
      <c r="Q11"/>
      <c r="S11"/>
    </row>
    <row r="12" spans="2:19" x14ac:dyDescent="0.25">
      <c r="B12" s="10">
        <v>3975</v>
      </c>
      <c r="C12" s="10" t="s">
        <v>167</v>
      </c>
      <c r="D12" s="39" t="s">
        <v>58</v>
      </c>
      <c r="E12" s="43" t="s">
        <v>82</v>
      </c>
      <c r="F12" s="41" t="s">
        <v>157</v>
      </c>
      <c r="G12" s="12">
        <v>43916.636284722219</v>
      </c>
      <c r="H12" s="12">
        <v>43977.354166666664</v>
      </c>
      <c r="I12" s="10" t="s">
        <v>50</v>
      </c>
      <c r="J12" s="10" t="s">
        <v>51</v>
      </c>
      <c r="K12" s="10" t="s">
        <v>253</v>
      </c>
      <c r="L12" s="13"/>
      <c r="M12"/>
      <c r="N12"/>
      <c r="O12"/>
      <c r="P12"/>
      <c r="Q12"/>
      <c r="S12"/>
    </row>
    <row r="13" spans="2:19" x14ac:dyDescent="0.25">
      <c r="B13" s="10">
        <v>4185</v>
      </c>
      <c r="C13" s="10" t="s">
        <v>168</v>
      </c>
      <c r="D13" s="39" t="s">
        <v>58</v>
      </c>
      <c r="E13" s="43" t="s">
        <v>109</v>
      </c>
      <c r="F13" s="41" t="s">
        <v>155</v>
      </c>
      <c r="G13" s="12">
        <v>43973.636296296296</v>
      </c>
      <c r="H13" s="12">
        <v>44043</v>
      </c>
      <c r="I13" s="10" t="s">
        <v>50</v>
      </c>
      <c r="J13" s="10" t="s">
        <v>51</v>
      </c>
      <c r="K13" s="10" t="s">
        <v>255</v>
      </c>
      <c r="L13" s="13"/>
      <c r="M13"/>
      <c r="N13"/>
      <c r="O13"/>
      <c r="P13"/>
      <c r="Q13"/>
      <c r="S13"/>
    </row>
    <row r="14" spans="2:19" x14ac:dyDescent="0.25">
      <c r="B14" s="10">
        <v>3416</v>
      </c>
      <c r="C14" s="10" t="s">
        <v>169</v>
      </c>
      <c r="D14" s="39" t="s">
        <v>58</v>
      </c>
      <c r="E14" s="43" t="s">
        <v>59</v>
      </c>
      <c r="F14" s="41" t="s">
        <v>152</v>
      </c>
      <c r="G14" s="12">
        <v>43732.763148148151</v>
      </c>
      <c r="H14" s="12"/>
      <c r="I14" s="10" t="s">
        <v>50</v>
      </c>
      <c r="J14" s="10" t="s">
        <v>51</v>
      </c>
      <c r="K14" s="10" t="s">
        <v>257</v>
      </c>
      <c r="L14" s="13"/>
      <c r="M14"/>
      <c r="N14"/>
      <c r="O14"/>
      <c r="P14"/>
      <c r="Q14"/>
      <c r="S14"/>
    </row>
    <row r="15" spans="2:19" x14ac:dyDescent="0.25">
      <c r="B15" s="10">
        <v>4081</v>
      </c>
      <c r="C15" s="10" t="s">
        <v>170</v>
      </c>
      <c r="D15" s="39" t="s">
        <v>58</v>
      </c>
      <c r="E15" s="43" t="s">
        <v>63</v>
      </c>
      <c r="F15" s="41" t="s">
        <v>152</v>
      </c>
      <c r="G15" s="12">
        <v>43950.445706018516</v>
      </c>
      <c r="H15" s="12"/>
      <c r="I15" s="10" t="s">
        <v>86</v>
      </c>
      <c r="J15" s="10" t="s">
        <v>85</v>
      </c>
      <c r="K15" s="10" t="s">
        <v>259</v>
      </c>
      <c r="L15" s="13"/>
      <c r="M15"/>
      <c r="N15"/>
      <c r="O15"/>
      <c r="P15"/>
      <c r="Q15"/>
      <c r="S15"/>
    </row>
    <row r="16" spans="2:19" x14ac:dyDescent="0.25">
      <c r="B16" s="10">
        <v>4354</v>
      </c>
      <c r="C16" s="10" t="s">
        <v>171</v>
      </c>
      <c r="D16" s="39" t="s">
        <v>58</v>
      </c>
      <c r="E16" s="43" t="s">
        <v>60</v>
      </c>
      <c r="F16" s="41" t="s">
        <v>154</v>
      </c>
      <c r="G16" s="12">
        <v>44014.375601851854</v>
      </c>
      <c r="H16" s="12"/>
      <c r="I16" s="10" t="s">
        <v>50</v>
      </c>
      <c r="J16" s="10"/>
      <c r="K16" s="10" t="s">
        <v>261</v>
      </c>
      <c r="L16" s="13"/>
      <c r="M16"/>
      <c r="N16"/>
      <c r="O16"/>
      <c r="P16"/>
      <c r="Q16"/>
      <c r="S16"/>
    </row>
    <row r="17" spans="2:19" x14ac:dyDescent="0.25">
      <c r="B17" s="10">
        <v>4358</v>
      </c>
      <c r="C17" s="10" t="s">
        <v>172</v>
      </c>
      <c r="D17" s="39" t="s">
        <v>58</v>
      </c>
      <c r="E17" s="43" t="s">
        <v>82</v>
      </c>
      <c r="F17" s="41" t="s">
        <v>152</v>
      </c>
      <c r="G17" s="12">
        <v>44014.376099537039</v>
      </c>
      <c r="H17" s="12"/>
      <c r="I17" s="10" t="s">
        <v>50</v>
      </c>
      <c r="J17" s="10"/>
      <c r="K17" s="10" t="s">
        <v>263</v>
      </c>
      <c r="L17" s="13"/>
      <c r="M17"/>
      <c r="N17"/>
      <c r="O17"/>
      <c r="P17"/>
      <c r="Q17"/>
      <c r="S17"/>
    </row>
    <row r="18" spans="2:19" x14ac:dyDescent="0.25">
      <c r="B18" s="10">
        <v>4356</v>
      </c>
      <c r="C18" s="10" t="s">
        <v>173</v>
      </c>
      <c r="D18" s="39" t="s">
        <v>58</v>
      </c>
      <c r="E18" s="43" t="s">
        <v>109</v>
      </c>
      <c r="F18" s="41" t="s">
        <v>153</v>
      </c>
      <c r="G18" s="12">
        <v>44014.375821759262</v>
      </c>
      <c r="H18" s="12"/>
      <c r="I18" s="10" t="s">
        <v>50</v>
      </c>
      <c r="J18" s="10"/>
      <c r="K18" s="10" t="s">
        <v>265</v>
      </c>
      <c r="L18" s="13"/>
      <c r="M18"/>
      <c r="N18"/>
      <c r="O18"/>
      <c r="P18"/>
      <c r="Q18"/>
      <c r="S18"/>
    </row>
    <row r="19" spans="2:19" x14ac:dyDescent="0.25">
      <c r="B19" s="10">
        <v>4278</v>
      </c>
      <c r="C19" s="10" t="s">
        <v>174</v>
      </c>
      <c r="D19" s="39" t="s">
        <v>58</v>
      </c>
      <c r="E19" s="43" t="s">
        <v>59</v>
      </c>
      <c r="F19" s="41" t="s">
        <v>152</v>
      </c>
      <c r="G19" s="12">
        <v>43999.636597222219</v>
      </c>
      <c r="H19" s="12">
        <v>44027.364583333336</v>
      </c>
      <c r="I19" s="10" t="s">
        <v>50</v>
      </c>
      <c r="J19" s="10" t="s">
        <v>51</v>
      </c>
      <c r="K19" s="10" t="s">
        <v>267</v>
      </c>
      <c r="L19" s="13"/>
      <c r="M19"/>
      <c r="N19"/>
      <c r="O19"/>
      <c r="P19"/>
      <c r="Q19"/>
      <c r="S19"/>
    </row>
    <row r="20" spans="2:19" x14ac:dyDescent="0.25">
      <c r="B20" s="10">
        <v>4280</v>
      </c>
      <c r="C20" s="10" t="s">
        <v>175</v>
      </c>
      <c r="D20" s="39" t="s">
        <v>58</v>
      </c>
      <c r="E20" s="43" t="s">
        <v>63</v>
      </c>
      <c r="F20" s="41" t="s">
        <v>157</v>
      </c>
      <c r="G20" s="12">
        <v>43999.63994212963</v>
      </c>
      <c r="H20" s="12">
        <v>44019.375</v>
      </c>
      <c r="I20" s="10" t="s">
        <v>50</v>
      </c>
      <c r="J20" s="10" t="s">
        <v>51</v>
      </c>
      <c r="K20" s="10" t="s">
        <v>269</v>
      </c>
      <c r="L20" s="13"/>
      <c r="M20"/>
      <c r="N20"/>
      <c r="O20"/>
      <c r="P20"/>
      <c r="Q20"/>
      <c r="S20"/>
    </row>
    <row r="21" spans="2:19" x14ac:dyDescent="0.25">
      <c r="B21" s="10">
        <v>4191</v>
      </c>
      <c r="C21" s="10" t="s">
        <v>176</v>
      </c>
      <c r="D21" s="39" t="s">
        <v>58</v>
      </c>
      <c r="E21" s="43" t="s">
        <v>60</v>
      </c>
      <c r="F21" s="41" t="s">
        <v>154</v>
      </c>
      <c r="G21" s="12">
        <v>43973.645925925928</v>
      </c>
      <c r="H21" s="12">
        <v>43992</v>
      </c>
      <c r="I21" s="10" t="s">
        <v>50</v>
      </c>
      <c r="J21" s="10" t="s">
        <v>51</v>
      </c>
      <c r="K21" s="10" t="s">
        <v>271</v>
      </c>
      <c r="L21" s="13"/>
      <c r="M21"/>
      <c r="N21"/>
      <c r="O21"/>
      <c r="P21"/>
      <c r="Q21"/>
      <c r="S21"/>
    </row>
    <row r="22" spans="2:19" x14ac:dyDescent="0.25">
      <c r="B22" s="10">
        <v>4342</v>
      </c>
      <c r="C22" s="10" t="s">
        <v>177</v>
      </c>
      <c r="D22" s="39" t="s">
        <v>58</v>
      </c>
      <c r="E22" s="43" t="s">
        <v>82</v>
      </c>
      <c r="F22" s="41" t="s">
        <v>156</v>
      </c>
      <c r="G22" s="12">
        <v>44012.666365740741</v>
      </c>
      <c r="H22" s="12">
        <v>44032</v>
      </c>
      <c r="I22" s="10" t="s">
        <v>50</v>
      </c>
      <c r="J22" s="10" t="s">
        <v>51</v>
      </c>
      <c r="K22" s="10" t="s">
        <v>273</v>
      </c>
      <c r="L22" s="13"/>
      <c r="M22"/>
      <c r="N22"/>
      <c r="O22"/>
      <c r="P22"/>
      <c r="Q22"/>
      <c r="S22"/>
    </row>
    <row r="23" spans="2:19" x14ac:dyDescent="0.25">
      <c r="B23" s="10">
        <v>3983</v>
      </c>
      <c r="C23" s="10" t="s">
        <v>178</v>
      </c>
      <c r="D23" s="39" t="s">
        <v>58</v>
      </c>
      <c r="E23" s="43" t="s">
        <v>109</v>
      </c>
      <c r="F23" s="41" t="s">
        <v>156</v>
      </c>
      <c r="G23" s="12">
        <v>43920.38212962963</v>
      </c>
      <c r="H23" s="12"/>
      <c r="I23" s="10" t="s">
        <v>9</v>
      </c>
      <c r="J23" s="10" t="s">
        <v>85</v>
      </c>
      <c r="K23" s="10" t="s">
        <v>275</v>
      </c>
      <c r="L23" s="13"/>
      <c r="M23"/>
      <c r="N23"/>
      <c r="O23"/>
      <c r="P23"/>
      <c r="Q23"/>
      <c r="S23"/>
    </row>
    <row r="24" spans="2:19" x14ac:dyDescent="0.25">
      <c r="B24" s="10">
        <v>4348</v>
      </c>
      <c r="C24" s="10" t="s">
        <v>179</v>
      </c>
      <c r="D24" s="39" t="s">
        <v>58</v>
      </c>
      <c r="E24" s="43" t="s">
        <v>59</v>
      </c>
      <c r="F24" s="41" t="s">
        <v>155</v>
      </c>
      <c r="G24" s="12">
        <v>44013.641712962963</v>
      </c>
      <c r="H24" s="12"/>
      <c r="I24" s="10" t="s">
        <v>49</v>
      </c>
      <c r="J24" s="10"/>
      <c r="K24" s="10"/>
      <c r="L24" s="13"/>
      <c r="M24"/>
      <c r="N24"/>
      <c r="O24"/>
      <c r="P24"/>
      <c r="Q24"/>
      <c r="S24"/>
    </row>
    <row r="25" spans="2:19" x14ac:dyDescent="0.25">
      <c r="B25" s="10">
        <v>4019</v>
      </c>
      <c r="C25" s="10" t="s">
        <v>180</v>
      </c>
      <c r="D25" s="39" t="s">
        <v>58</v>
      </c>
      <c r="E25" s="43" t="s">
        <v>63</v>
      </c>
      <c r="F25" s="41" t="s">
        <v>153</v>
      </c>
      <c r="G25" s="12">
        <v>43934.494976851849</v>
      </c>
      <c r="H25" s="12"/>
      <c r="I25" s="10" t="s">
        <v>107</v>
      </c>
      <c r="J25" s="10" t="s">
        <v>55</v>
      </c>
      <c r="K25" s="10"/>
      <c r="L25" s="13"/>
      <c r="M25"/>
      <c r="N25"/>
      <c r="O25"/>
      <c r="P25"/>
      <c r="Q25"/>
      <c r="S25"/>
    </row>
    <row r="26" spans="2:19" x14ac:dyDescent="0.25">
      <c r="B26" s="10">
        <v>4011</v>
      </c>
      <c r="C26" s="10" t="s">
        <v>181</v>
      </c>
      <c r="D26" s="39" t="s">
        <v>58</v>
      </c>
      <c r="E26" s="43" t="s">
        <v>60</v>
      </c>
      <c r="F26" s="41" t="s">
        <v>154</v>
      </c>
      <c r="G26" s="12">
        <v>43930.646296296298</v>
      </c>
      <c r="H26" s="12"/>
      <c r="I26" s="10" t="s">
        <v>9</v>
      </c>
      <c r="J26" s="10" t="s">
        <v>51</v>
      </c>
      <c r="K26" s="10"/>
      <c r="L26" s="13"/>
      <c r="M26"/>
      <c r="N26"/>
      <c r="O26"/>
      <c r="P26"/>
      <c r="Q26"/>
      <c r="S26"/>
    </row>
    <row r="27" spans="2:19" x14ac:dyDescent="0.25">
      <c r="B27" s="10">
        <v>3999</v>
      </c>
      <c r="C27" s="10" t="s">
        <v>182</v>
      </c>
      <c r="D27" s="39" t="s">
        <v>58</v>
      </c>
      <c r="E27" s="43" t="s">
        <v>82</v>
      </c>
      <c r="F27" s="41" t="s">
        <v>155</v>
      </c>
      <c r="G27" s="12">
        <v>43929.453715277778</v>
      </c>
      <c r="H27" s="12"/>
      <c r="I27" s="10"/>
      <c r="J27" s="10"/>
      <c r="K27" s="10"/>
      <c r="L27" s="13"/>
      <c r="M27"/>
      <c r="N27"/>
      <c r="O27"/>
      <c r="P27"/>
      <c r="Q27"/>
      <c r="S27"/>
    </row>
    <row r="28" spans="2:19" x14ac:dyDescent="0.25">
      <c r="I28"/>
      <c r="J28"/>
      <c r="K28"/>
      <c r="L28"/>
      <c r="M28"/>
      <c r="N28"/>
      <c r="O28"/>
      <c r="P28"/>
      <c r="Q28"/>
      <c r="S28"/>
    </row>
  </sheetData>
  <autoFilter ref="B8:L27" xr:uid="{00000000-0009-0000-0000-00000B000000}"/>
  <sortState xmlns:xlrd2="http://schemas.microsoft.com/office/spreadsheetml/2017/richdata2" ref="B9:L27">
    <sortCondition ref="K9"/>
  </sortState>
  <mergeCells count="1">
    <mergeCell ref="B2:L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4">
    <tabColor rgb="FF35BEE9"/>
  </sheetPr>
  <dimension ref="B1:W232"/>
  <sheetViews>
    <sheetView showGridLines="0" zoomScaleNormal="100" workbookViewId="0">
      <pane ySplit="7" topLeftCell="A8" activePane="bottomLeft" state="frozen"/>
      <selection activeCell="C5" sqref="C5:C6"/>
      <selection pane="bottomLeft" activeCell="C64" sqref="C64"/>
    </sheetView>
  </sheetViews>
  <sheetFormatPr defaultColWidth="9.140625" defaultRowHeight="15" x14ac:dyDescent="0.25"/>
  <cols>
    <col min="1" max="1" width="3.7109375" style="1" customWidth="1"/>
    <col min="2" max="2" width="13.7109375" bestFit="1" customWidth="1"/>
    <col min="3" max="3" width="37.28515625" bestFit="1" customWidth="1"/>
    <col min="4" max="4" width="15.28515625" bestFit="1" customWidth="1"/>
    <col min="5" max="5" width="12" customWidth="1"/>
    <col min="6" max="6" width="7.140625" customWidth="1"/>
    <col min="7" max="7" width="18.140625" bestFit="1" customWidth="1"/>
    <col min="8" max="8" width="13.7109375" bestFit="1" customWidth="1"/>
    <col min="9" max="9" width="11" style="16" customWidth="1"/>
    <col min="10" max="10" width="15" style="1" customWidth="1"/>
    <col min="11" max="11" width="17.5703125" style="1" customWidth="1"/>
    <col min="12" max="12" width="17.140625" style="1" customWidth="1"/>
    <col min="13" max="13" width="22.28515625" style="1" bestFit="1" customWidth="1"/>
    <col min="14" max="14" width="11" style="16" customWidth="1"/>
    <col min="15" max="19" width="6.85546875" style="1" customWidth="1"/>
    <col min="20" max="16384" width="9.140625" style="1"/>
  </cols>
  <sheetData>
    <row r="1" spans="2:19" hidden="1" x14ac:dyDescent="0.25">
      <c r="B1" s="10"/>
      <c r="C1" s="10"/>
      <c r="D1" s="10"/>
      <c r="E1" s="10"/>
      <c r="F1" s="27"/>
      <c r="G1" s="10"/>
      <c r="H1" s="12"/>
      <c r="I1" s="12"/>
      <c r="J1" s="10"/>
      <c r="K1" s="10"/>
      <c r="L1" s="10"/>
      <c r="M1" s="10"/>
      <c r="N1" s="12"/>
      <c r="O1" s="13"/>
      <c r="P1" s="13"/>
      <c r="Q1" s="13"/>
      <c r="R1" s="13"/>
      <c r="S1" s="13"/>
    </row>
    <row r="2" spans="2:19" ht="44.25" customHeight="1" x14ac:dyDescent="0.25">
      <c r="B2" s="45" t="s">
        <v>36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</row>
    <row r="3" spans="2:19" x14ac:dyDescent="0.25">
      <c r="B3" s="3"/>
      <c r="C3" s="3"/>
      <c r="D3" s="2"/>
      <c r="E3" s="1"/>
      <c r="F3" s="1"/>
      <c r="G3" s="8"/>
      <c r="H3" s="16"/>
    </row>
    <row r="4" spans="2:19" ht="15.75" x14ac:dyDescent="0.25">
      <c r="B4" s="7" t="s">
        <v>15</v>
      </c>
      <c r="C4" s="5" t="s">
        <v>37</v>
      </c>
      <c r="D4" s="2"/>
      <c r="E4" s="1"/>
      <c r="F4" s="1"/>
      <c r="G4" s="8"/>
      <c r="H4" s="16"/>
    </row>
    <row r="5" spans="2:19" ht="15.75" x14ac:dyDescent="0.25">
      <c r="B5" s="7" t="s">
        <v>16</v>
      </c>
      <c r="C5" s="5" t="s">
        <v>128</v>
      </c>
      <c r="D5" s="2"/>
      <c r="E5" s="1"/>
      <c r="F5" s="1"/>
      <c r="G5" s="8"/>
      <c r="H5" s="16"/>
    </row>
    <row r="6" spans="2:19" ht="15.75" x14ac:dyDescent="0.25">
      <c r="B6" s="7" t="s">
        <v>17</v>
      </c>
      <c r="C6" s="6">
        <v>44014.492430555554</v>
      </c>
      <c r="D6" s="2"/>
      <c r="E6" s="1"/>
      <c r="F6" s="1"/>
      <c r="G6" s="8"/>
      <c r="H6" s="16"/>
    </row>
    <row r="7" spans="2:19" x14ac:dyDescent="0.25">
      <c r="B7" s="1"/>
      <c r="C7" s="1"/>
      <c r="D7" s="1"/>
      <c r="E7" s="1"/>
      <c r="F7" s="1"/>
      <c r="G7" s="8"/>
      <c r="H7" s="16"/>
    </row>
    <row r="8" spans="2:19" x14ac:dyDescent="0.25">
      <c r="B8" s="20" t="s">
        <v>0</v>
      </c>
      <c r="C8" s="20" t="s">
        <v>1</v>
      </c>
      <c r="D8" s="20" t="s">
        <v>2</v>
      </c>
      <c r="E8" s="20" t="s">
        <v>3</v>
      </c>
      <c r="F8" s="20" t="s">
        <v>40</v>
      </c>
      <c r="G8" s="20" t="s">
        <v>6</v>
      </c>
      <c r="H8" s="23" t="s">
        <v>7</v>
      </c>
      <c r="I8" s="23" t="s">
        <v>12</v>
      </c>
      <c r="J8" s="20" t="s">
        <v>10</v>
      </c>
      <c r="K8" s="20" t="s">
        <v>8</v>
      </c>
      <c r="L8" s="20" t="s">
        <v>5</v>
      </c>
      <c r="M8" s="20" t="s">
        <v>4</v>
      </c>
      <c r="N8" s="23" t="s">
        <v>43</v>
      </c>
      <c r="O8" s="20" t="s">
        <v>18</v>
      </c>
      <c r="P8" s="20" t="s">
        <v>19</v>
      </c>
      <c r="Q8" s="20" t="s">
        <v>20</v>
      </c>
      <c r="R8" s="20" t="s">
        <v>38</v>
      </c>
      <c r="S8" s="20" t="s">
        <v>39</v>
      </c>
    </row>
    <row r="9" spans="2:19" x14ac:dyDescent="0.25">
      <c r="B9" s="10">
        <v>4332</v>
      </c>
      <c r="C9" s="10" t="s">
        <v>171</v>
      </c>
      <c r="D9" s="10" t="s">
        <v>58</v>
      </c>
      <c r="E9" s="10" t="s">
        <v>60</v>
      </c>
      <c r="F9" s="27">
        <v>0.4</v>
      </c>
      <c r="G9" s="10" t="s">
        <v>152</v>
      </c>
      <c r="H9" s="12">
        <v>44012.456261574072</v>
      </c>
      <c r="I9" s="12"/>
      <c r="J9" s="10" t="s">
        <v>50</v>
      </c>
      <c r="K9" s="10" t="s">
        <v>55</v>
      </c>
      <c r="L9" s="10" t="s">
        <v>248</v>
      </c>
      <c r="M9" s="10" t="s">
        <v>247</v>
      </c>
      <c r="N9" s="12">
        <v>44012</v>
      </c>
      <c r="O9" s="13" t="s">
        <v>120</v>
      </c>
      <c r="P9" s="13" t="s">
        <v>119</v>
      </c>
      <c r="Q9" s="13" t="s">
        <v>120</v>
      </c>
      <c r="R9" s="13" t="s">
        <v>120</v>
      </c>
      <c r="S9" s="13" t="s">
        <v>119</v>
      </c>
    </row>
    <row r="10" spans="2:19" x14ac:dyDescent="0.25">
      <c r="B10" s="10">
        <v>4298</v>
      </c>
      <c r="C10" s="10" t="s">
        <v>172</v>
      </c>
      <c r="D10" s="10" t="s">
        <v>58</v>
      </c>
      <c r="E10" s="10" t="s">
        <v>60</v>
      </c>
      <c r="F10" s="27">
        <v>0.6</v>
      </c>
      <c r="G10" s="10" t="s">
        <v>153</v>
      </c>
      <c r="H10" s="12">
        <v>44000.578738425924</v>
      </c>
      <c r="I10" s="12"/>
      <c r="J10" s="10" t="s">
        <v>107</v>
      </c>
      <c r="K10" s="10" t="s">
        <v>55</v>
      </c>
      <c r="L10" s="10" t="s">
        <v>249</v>
      </c>
      <c r="M10" s="10" t="s">
        <v>250</v>
      </c>
      <c r="N10" s="12">
        <v>44001</v>
      </c>
      <c r="O10" s="13" t="s">
        <v>120</v>
      </c>
      <c r="P10" s="13" t="s">
        <v>119</v>
      </c>
      <c r="Q10" s="13" t="s">
        <v>120</v>
      </c>
      <c r="R10" s="13" t="s">
        <v>120</v>
      </c>
      <c r="S10" s="13" t="s">
        <v>119</v>
      </c>
    </row>
    <row r="11" spans="2:19" x14ac:dyDescent="0.25">
      <c r="B11" s="10">
        <v>4249</v>
      </c>
      <c r="C11" s="10" t="s">
        <v>173</v>
      </c>
      <c r="D11" s="10" t="s">
        <v>58</v>
      </c>
      <c r="E11" s="10" t="s">
        <v>62</v>
      </c>
      <c r="F11" s="27">
        <v>0.4</v>
      </c>
      <c r="G11" s="10" t="s">
        <v>154</v>
      </c>
      <c r="H11" s="12">
        <v>43987.702546296299</v>
      </c>
      <c r="I11" s="12"/>
      <c r="J11" s="10" t="s">
        <v>107</v>
      </c>
      <c r="K11" s="10" t="s">
        <v>54</v>
      </c>
      <c r="L11" s="10" t="s">
        <v>251</v>
      </c>
      <c r="M11" s="10" t="s">
        <v>252</v>
      </c>
      <c r="N11" s="12">
        <v>43987</v>
      </c>
      <c r="O11" s="13" t="s">
        <v>119</v>
      </c>
      <c r="P11" s="13" t="s">
        <v>119</v>
      </c>
      <c r="Q11" s="13" t="s">
        <v>120</v>
      </c>
      <c r="R11" s="13" t="s">
        <v>120</v>
      </c>
      <c r="S11" s="13" t="s">
        <v>119</v>
      </c>
    </row>
    <row r="12" spans="2:19" x14ac:dyDescent="0.25">
      <c r="B12" s="10">
        <v>4239</v>
      </c>
      <c r="C12" s="10" t="s">
        <v>174</v>
      </c>
      <c r="D12" s="10" t="s">
        <v>58</v>
      </c>
      <c r="E12" s="10" t="s">
        <v>60</v>
      </c>
      <c r="F12" s="27">
        <v>0.4</v>
      </c>
      <c r="G12" s="10" t="s">
        <v>155</v>
      </c>
      <c r="H12" s="12">
        <v>43986.451539351852</v>
      </c>
      <c r="I12" s="12"/>
      <c r="J12" s="10" t="s">
        <v>50</v>
      </c>
      <c r="K12" s="10" t="s">
        <v>55</v>
      </c>
      <c r="L12" s="10" t="s">
        <v>253</v>
      </c>
      <c r="M12" s="10" t="s">
        <v>254</v>
      </c>
      <c r="N12" s="12">
        <v>43986</v>
      </c>
      <c r="O12" s="13" t="s">
        <v>120</v>
      </c>
      <c r="P12" s="13" t="s">
        <v>120</v>
      </c>
      <c r="Q12" s="13" t="s">
        <v>120</v>
      </c>
      <c r="R12" s="13" t="s">
        <v>120</v>
      </c>
      <c r="S12" s="13" t="s">
        <v>119</v>
      </c>
    </row>
    <row r="13" spans="2:19" x14ac:dyDescent="0.25">
      <c r="B13" s="10">
        <v>4203</v>
      </c>
      <c r="C13" s="10" t="s">
        <v>175</v>
      </c>
      <c r="D13" s="10" t="s">
        <v>58</v>
      </c>
      <c r="E13" s="10" t="s">
        <v>60</v>
      </c>
      <c r="F13" s="27"/>
      <c r="G13" s="10" t="s">
        <v>156</v>
      </c>
      <c r="H13" s="12">
        <v>43976.480740740742</v>
      </c>
      <c r="I13" s="12"/>
      <c r="J13" s="10" t="s">
        <v>50</v>
      </c>
      <c r="K13" s="10" t="s">
        <v>57</v>
      </c>
      <c r="L13" s="10" t="s">
        <v>255</v>
      </c>
      <c r="M13" s="10" t="s">
        <v>256</v>
      </c>
      <c r="N13" s="12">
        <v>43977</v>
      </c>
      <c r="O13" s="13"/>
      <c r="P13" s="13"/>
      <c r="Q13" s="13"/>
      <c r="R13" s="13"/>
      <c r="S13" s="13"/>
    </row>
    <row r="14" spans="2:19" x14ac:dyDescent="0.25">
      <c r="B14" s="10">
        <v>4199</v>
      </c>
      <c r="C14" s="10" t="s">
        <v>176</v>
      </c>
      <c r="D14" s="10" t="s">
        <v>122</v>
      </c>
      <c r="E14" s="10" t="s">
        <v>60</v>
      </c>
      <c r="F14" s="27">
        <v>0.6</v>
      </c>
      <c r="G14" s="10" t="s">
        <v>157</v>
      </c>
      <c r="H14" s="12">
        <v>43973.829525462963</v>
      </c>
      <c r="I14" s="12"/>
      <c r="J14" s="10" t="s">
        <v>50</v>
      </c>
      <c r="K14" s="10" t="s">
        <v>55</v>
      </c>
      <c r="L14" s="10" t="s">
        <v>257</v>
      </c>
      <c r="M14" s="10" t="s">
        <v>258</v>
      </c>
      <c r="N14" s="12">
        <v>43977</v>
      </c>
      <c r="O14" s="13" t="s">
        <v>120</v>
      </c>
      <c r="P14" s="13" t="s">
        <v>120</v>
      </c>
      <c r="Q14" s="13" t="s">
        <v>120</v>
      </c>
      <c r="R14" s="13" t="s">
        <v>120</v>
      </c>
      <c r="S14" s="13" t="s">
        <v>120</v>
      </c>
    </row>
    <row r="15" spans="2:19" x14ac:dyDescent="0.25">
      <c r="B15" s="10">
        <v>4179</v>
      </c>
      <c r="C15" s="10" t="s">
        <v>177</v>
      </c>
      <c r="D15" s="10" t="s">
        <v>58</v>
      </c>
      <c r="E15" s="10" t="s">
        <v>62</v>
      </c>
      <c r="F15" s="27">
        <v>0.6</v>
      </c>
      <c r="G15" s="10" t="s">
        <v>152</v>
      </c>
      <c r="H15" s="12">
        <v>43972.875601851854</v>
      </c>
      <c r="I15" s="12"/>
      <c r="J15" s="10" t="s">
        <v>50</v>
      </c>
      <c r="K15" s="10" t="s">
        <v>55</v>
      </c>
      <c r="L15" s="10" t="s">
        <v>259</v>
      </c>
      <c r="M15" s="10" t="s">
        <v>260</v>
      </c>
      <c r="N15" s="12">
        <v>43972</v>
      </c>
      <c r="O15" s="13" t="s">
        <v>120</v>
      </c>
      <c r="P15" s="13" t="s">
        <v>120</v>
      </c>
      <c r="Q15" s="13" t="s">
        <v>120</v>
      </c>
      <c r="R15" s="13" t="s">
        <v>120</v>
      </c>
      <c r="S15" s="13" t="s">
        <v>119</v>
      </c>
    </row>
    <row r="16" spans="2:19" x14ac:dyDescent="0.25">
      <c r="B16" s="10">
        <v>4161</v>
      </c>
      <c r="C16" s="10" t="s">
        <v>178</v>
      </c>
      <c r="D16" s="10" t="s">
        <v>58</v>
      </c>
      <c r="E16" s="10" t="s">
        <v>60</v>
      </c>
      <c r="F16" s="27">
        <v>0.4</v>
      </c>
      <c r="G16" s="10" t="s">
        <v>153</v>
      </c>
      <c r="H16" s="12">
        <v>43971.411203703705</v>
      </c>
      <c r="I16" s="12"/>
      <c r="J16" s="10" t="s">
        <v>50</v>
      </c>
      <c r="K16" s="10" t="s">
        <v>123</v>
      </c>
      <c r="L16" s="10" t="s">
        <v>261</v>
      </c>
      <c r="M16" s="10" t="s">
        <v>262</v>
      </c>
      <c r="N16" s="12">
        <v>43971</v>
      </c>
      <c r="O16" s="13" t="s">
        <v>119</v>
      </c>
      <c r="P16" s="13" t="s">
        <v>119</v>
      </c>
      <c r="Q16" s="13" t="s">
        <v>119</v>
      </c>
      <c r="R16" s="13" t="s">
        <v>119</v>
      </c>
      <c r="S16" s="13" t="s">
        <v>119</v>
      </c>
    </row>
    <row r="17" spans="2:23" x14ac:dyDescent="0.25">
      <c r="B17" s="10">
        <v>4147</v>
      </c>
      <c r="C17" s="10" t="s">
        <v>179</v>
      </c>
      <c r="D17" s="10" t="s">
        <v>58</v>
      </c>
      <c r="E17" s="10" t="s">
        <v>60</v>
      </c>
      <c r="F17" s="27">
        <v>0.4</v>
      </c>
      <c r="G17" s="10" t="s">
        <v>154</v>
      </c>
      <c r="H17" s="12">
        <v>43966.805138888885</v>
      </c>
      <c r="I17" s="12"/>
      <c r="J17" s="10" t="s">
        <v>48</v>
      </c>
      <c r="K17" s="10" t="s">
        <v>55</v>
      </c>
      <c r="L17" s="10" t="s">
        <v>263</v>
      </c>
      <c r="M17" s="10" t="s">
        <v>264</v>
      </c>
      <c r="N17" s="12">
        <v>44001</v>
      </c>
      <c r="O17" s="13" t="s">
        <v>120</v>
      </c>
      <c r="P17" s="13" t="s">
        <v>120</v>
      </c>
      <c r="Q17" s="13" t="s">
        <v>120</v>
      </c>
      <c r="R17" s="13" t="s">
        <v>120</v>
      </c>
      <c r="S17" s="13" t="s">
        <v>119</v>
      </c>
    </row>
    <row r="18" spans="2:23" x14ac:dyDescent="0.25">
      <c r="B18" s="10">
        <v>4143</v>
      </c>
      <c r="C18" s="10" t="s">
        <v>180</v>
      </c>
      <c r="D18" s="10" t="s">
        <v>58</v>
      </c>
      <c r="E18" s="10" t="s">
        <v>60</v>
      </c>
      <c r="F18" s="27">
        <v>0.6</v>
      </c>
      <c r="G18" s="10" t="s">
        <v>155</v>
      </c>
      <c r="H18" s="12">
        <v>43966.669675925928</v>
      </c>
      <c r="I18" s="12"/>
      <c r="J18" s="10" t="s">
        <v>50</v>
      </c>
      <c r="K18" s="10" t="s">
        <v>55</v>
      </c>
      <c r="L18" s="10" t="s">
        <v>265</v>
      </c>
      <c r="M18" s="10" t="s">
        <v>266</v>
      </c>
      <c r="N18" s="12">
        <v>43986</v>
      </c>
      <c r="O18" s="13" t="s">
        <v>120</v>
      </c>
      <c r="P18" s="13" t="s">
        <v>119</v>
      </c>
      <c r="Q18" s="13" t="s">
        <v>119</v>
      </c>
      <c r="R18" s="13" t="s">
        <v>120</v>
      </c>
      <c r="S18" s="13" t="s">
        <v>119</v>
      </c>
    </row>
    <row r="19" spans="2:23" x14ac:dyDescent="0.25">
      <c r="B19" s="10">
        <v>4133</v>
      </c>
      <c r="C19" s="10" t="s">
        <v>181</v>
      </c>
      <c r="D19" s="10" t="s">
        <v>58</v>
      </c>
      <c r="E19" s="10" t="s">
        <v>60</v>
      </c>
      <c r="F19" s="27">
        <v>0.4</v>
      </c>
      <c r="G19" s="10" t="s">
        <v>156</v>
      </c>
      <c r="H19" s="12">
        <v>43965.574074074073</v>
      </c>
      <c r="I19" s="12"/>
      <c r="J19" s="10" t="s">
        <v>50</v>
      </c>
      <c r="K19" s="10" t="s">
        <v>57</v>
      </c>
      <c r="L19" s="10" t="s">
        <v>267</v>
      </c>
      <c r="M19" s="10" t="s">
        <v>268</v>
      </c>
      <c r="N19" s="12">
        <v>43965</v>
      </c>
      <c r="O19" s="13" t="s">
        <v>120</v>
      </c>
      <c r="P19" s="13" t="s">
        <v>119</v>
      </c>
      <c r="Q19" s="13" t="s">
        <v>119</v>
      </c>
      <c r="R19" s="13" t="s">
        <v>120</v>
      </c>
      <c r="S19" s="13" t="s">
        <v>119</v>
      </c>
    </row>
    <row r="20" spans="2:23" x14ac:dyDescent="0.25">
      <c r="B20" s="10">
        <v>4129</v>
      </c>
      <c r="C20" s="10" t="s">
        <v>182</v>
      </c>
      <c r="D20" s="10" t="s">
        <v>58</v>
      </c>
      <c r="E20" s="10" t="s">
        <v>60</v>
      </c>
      <c r="F20" s="27">
        <v>0.4</v>
      </c>
      <c r="G20" s="10" t="s">
        <v>157</v>
      </c>
      <c r="H20" s="12">
        <v>43963.581435185188</v>
      </c>
      <c r="I20" s="12"/>
      <c r="J20" s="10" t="s">
        <v>48</v>
      </c>
      <c r="K20" s="10" t="s">
        <v>55</v>
      </c>
      <c r="L20" s="10" t="s">
        <v>269</v>
      </c>
      <c r="M20" s="10" t="s">
        <v>270</v>
      </c>
      <c r="N20" s="12">
        <v>43971</v>
      </c>
      <c r="O20" s="13" t="s">
        <v>120</v>
      </c>
      <c r="P20" s="13" t="s">
        <v>120</v>
      </c>
      <c r="Q20" s="13" t="s">
        <v>120</v>
      </c>
      <c r="R20" s="13" t="s">
        <v>120</v>
      </c>
      <c r="S20" s="13" t="s">
        <v>119</v>
      </c>
    </row>
    <row r="21" spans="2:23" x14ac:dyDescent="0.25">
      <c r="B21" s="10">
        <v>4095</v>
      </c>
      <c r="C21" s="10" t="s">
        <v>183</v>
      </c>
      <c r="D21" s="10" t="s">
        <v>122</v>
      </c>
      <c r="E21" s="10" t="s">
        <v>60</v>
      </c>
      <c r="F21" s="27">
        <v>0.8</v>
      </c>
      <c r="G21" s="10" t="s">
        <v>152</v>
      </c>
      <c r="H21" s="12">
        <v>43955.640798611108</v>
      </c>
      <c r="I21" s="12"/>
      <c r="J21" s="10" t="s">
        <v>50</v>
      </c>
      <c r="K21" s="10" t="s">
        <v>55</v>
      </c>
      <c r="L21" s="10" t="s">
        <v>271</v>
      </c>
      <c r="M21" s="10" t="s">
        <v>272</v>
      </c>
      <c r="N21" s="12">
        <v>43959</v>
      </c>
      <c r="O21" s="13" t="s">
        <v>120</v>
      </c>
      <c r="P21" s="13" t="s">
        <v>120</v>
      </c>
      <c r="Q21" s="13" t="s">
        <v>119</v>
      </c>
      <c r="R21" s="13" t="s">
        <v>120</v>
      </c>
      <c r="S21" s="13" t="s">
        <v>119</v>
      </c>
      <c r="W21" s="33"/>
    </row>
    <row r="22" spans="2:23" x14ac:dyDescent="0.25">
      <c r="B22" s="10">
        <v>4075</v>
      </c>
      <c r="C22" s="10" t="s">
        <v>184</v>
      </c>
      <c r="D22" s="10" t="s">
        <v>58</v>
      </c>
      <c r="E22" s="10" t="s">
        <v>60</v>
      </c>
      <c r="F22" s="27">
        <v>0.4</v>
      </c>
      <c r="G22" s="10" t="s">
        <v>153</v>
      </c>
      <c r="H22" s="12">
        <v>43948.613935185182</v>
      </c>
      <c r="I22" s="12"/>
      <c r="J22" s="10" t="s">
        <v>107</v>
      </c>
      <c r="K22" s="10" t="s">
        <v>57</v>
      </c>
      <c r="L22" s="10" t="s">
        <v>273</v>
      </c>
      <c r="M22" s="10" t="s">
        <v>274</v>
      </c>
      <c r="N22" s="12">
        <v>43948</v>
      </c>
      <c r="O22" s="13" t="s">
        <v>120</v>
      </c>
      <c r="P22" s="13" t="s">
        <v>119</v>
      </c>
      <c r="Q22" s="13" t="s">
        <v>119</v>
      </c>
      <c r="R22" s="13" t="s">
        <v>120</v>
      </c>
      <c r="S22" s="13" t="s">
        <v>119</v>
      </c>
      <c r="W22" s="34"/>
    </row>
    <row r="23" spans="2:23" x14ac:dyDescent="0.25">
      <c r="B23" s="10">
        <v>4071</v>
      </c>
      <c r="C23" s="10" t="s">
        <v>185</v>
      </c>
      <c r="D23" s="10" t="s">
        <v>58</v>
      </c>
      <c r="E23" s="10" t="s">
        <v>62</v>
      </c>
      <c r="F23" s="27">
        <v>0.4</v>
      </c>
      <c r="G23" s="10" t="s">
        <v>154</v>
      </c>
      <c r="H23" s="12">
        <v>43948.497881944444</v>
      </c>
      <c r="I23" s="12"/>
      <c r="J23" s="10" t="s">
        <v>48</v>
      </c>
      <c r="K23" s="10" t="s">
        <v>81</v>
      </c>
      <c r="L23" s="10" t="s">
        <v>275</v>
      </c>
      <c r="M23" s="10" t="s">
        <v>276</v>
      </c>
      <c r="N23" s="12">
        <v>43948</v>
      </c>
      <c r="O23" s="13" t="s">
        <v>119</v>
      </c>
      <c r="P23" s="13" t="s">
        <v>119</v>
      </c>
      <c r="Q23" s="13" t="s">
        <v>119</v>
      </c>
      <c r="R23" s="13" t="s">
        <v>119</v>
      </c>
      <c r="S23" s="13" t="s">
        <v>119</v>
      </c>
      <c r="W23" s="34"/>
    </row>
    <row r="24" spans="2:23" x14ac:dyDescent="0.25">
      <c r="B24" s="10">
        <v>4017</v>
      </c>
      <c r="C24" s="10" t="s">
        <v>186</v>
      </c>
      <c r="D24" s="10" t="s">
        <v>58</v>
      </c>
      <c r="E24" s="10" t="s">
        <v>60</v>
      </c>
      <c r="F24" s="27">
        <v>0.4</v>
      </c>
      <c r="G24" s="10" t="s">
        <v>155</v>
      </c>
      <c r="H24" s="12">
        <v>43934.402824074074</v>
      </c>
      <c r="I24" s="12"/>
      <c r="J24" s="10" t="s">
        <v>48</v>
      </c>
      <c r="K24" s="10" t="s">
        <v>77</v>
      </c>
      <c r="L24" s="10" t="s">
        <v>277</v>
      </c>
      <c r="M24" s="10" t="s">
        <v>278</v>
      </c>
      <c r="N24" s="12">
        <v>43935</v>
      </c>
      <c r="O24" s="13" t="s">
        <v>120</v>
      </c>
      <c r="P24" s="13" t="s">
        <v>120</v>
      </c>
      <c r="Q24" s="13" t="s">
        <v>119</v>
      </c>
      <c r="R24" s="13" t="s">
        <v>119</v>
      </c>
      <c r="S24" s="13" t="s">
        <v>119</v>
      </c>
    </row>
    <row r="25" spans="2:23" x14ac:dyDescent="0.25">
      <c r="B25" s="10">
        <v>3979</v>
      </c>
      <c r="C25" s="10" t="s">
        <v>187</v>
      </c>
      <c r="D25" s="10" t="s">
        <v>58</v>
      </c>
      <c r="E25" s="10" t="s">
        <v>60</v>
      </c>
      <c r="F25" s="27">
        <v>0.4</v>
      </c>
      <c r="G25" s="10" t="s">
        <v>156</v>
      </c>
      <c r="H25" s="12">
        <v>43917.503738425927</v>
      </c>
      <c r="I25" s="12"/>
      <c r="J25" s="10" t="s">
        <v>50</v>
      </c>
      <c r="K25" s="10" t="s">
        <v>57</v>
      </c>
      <c r="L25" s="10" t="s">
        <v>279</v>
      </c>
      <c r="M25" s="10" t="s">
        <v>280</v>
      </c>
      <c r="N25" s="12">
        <v>43917</v>
      </c>
      <c r="O25" s="13" t="s">
        <v>120</v>
      </c>
      <c r="P25" s="13" t="s">
        <v>119</v>
      </c>
      <c r="Q25" s="13" t="s">
        <v>119</v>
      </c>
      <c r="R25" s="13" t="s">
        <v>120</v>
      </c>
      <c r="S25" s="13" t="s">
        <v>119</v>
      </c>
    </row>
    <row r="26" spans="2:23" x14ac:dyDescent="0.25">
      <c r="B26" s="10">
        <v>3959</v>
      </c>
      <c r="C26" s="10" t="s">
        <v>188</v>
      </c>
      <c r="D26" s="10" t="s">
        <v>58</v>
      </c>
      <c r="E26" s="10" t="s">
        <v>62</v>
      </c>
      <c r="F26" s="27">
        <v>0.6</v>
      </c>
      <c r="G26" s="10" t="s">
        <v>157</v>
      </c>
      <c r="H26" s="12">
        <v>43915.517708333333</v>
      </c>
      <c r="I26" s="12"/>
      <c r="J26" s="10" t="s">
        <v>50</v>
      </c>
      <c r="K26" s="10" t="s">
        <v>54</v>
      </c>
      <c r="L26" s="10" t="s">
        <v>281</v>
      </c>
      <c r="M26" s="10" t="s">
        <v>282</v>
      </c>
      <c r="N26" s="12">
        <v>43915</v>
      </c>
      <c r="O26" s="13" t="s">
        <v>119</v>
      </c>
      <c r="P26" s="13" t="s">
        <v>119</v>
      </c>
      <c r="Q26" s="13" t="s">
        <v>119</v>
      </c>
      <c r="R26" s="13" t="s">
        <v>119</v>
      </c>
      <c r="S26" s="13" t="s">
        <v>119</v>
      </c>
    </row>
    <row r="27" spans="2:23" x14ac:dyDescent="0.25">
      <c r="B27" s="10">
        <v>3915</v>
      </c>
      <c r="C27" s="10" t="s">
        <v>189</v>
      </c>
      <c r="D27" s="10" t="s">
        <v>58</v>
      </c>
      <c r="E27" s="10" t="s">
        <v>60</v>
      </c>
      <c r="F27" s="27">
        <v>0.4</v>
      </c>
      <c r="G27" s="10" t="s">
        <v>152</v>
      </c>
      <c r="H27" s="12">
        <v>43902.711793981478</v>
      </c>
      <c r="I27" s="12"/>
      <c r="J27" s="10" t="s">
        <v>9</v>
      </c>
      <c r="K27" s="10" t="s">
        <v>53</v>
      </c>
      <c r="L27" s="10" t="s">
        <v>283</v>
      </c>
      <c r="M27" s="10" t="s">
        <v>284</v>
      </c>
      <c r="N27" s="12">
        <v>43902</v>
      </c>
      <c r="O27" s="13" t="s">
        <v>120</v>
      </c>
      <c r="P27" s="13" t="s">
        <v>120</v>
      </c>
      <c r="Q27" s="13" t="s">
        <v>120</v>
      </c>
      <c r="R27" s="13" t="s">
        <v>120</v>
      </c>
      <c r="S27" s="13" t="s">
        <v>120</v>
      </c>
    </row>
    <row r="28" spans="2:23" x14ac:dyDescent="0.25">
      <c r="B28" s="10">
        <v>3907</v>
      </c>
      <c r="C28" s="10" t="s">
        <v>190</v>
      </c>
      <c r="D28" s="10" t="s">
        <v>58</v>
      </c>
      <c r="E28" s="10" t="s">
        <v>60</v>
      </c>
      <c r="F28" s="27">
        <v>0.4</v>
      </c>
      <c r="G28" s="10" t="s">
        <v>153</v>
      </c>
      <c r="H28" s="12">
        <v>43901.71199074074</v>
      </c>
      <c r="I28" s="12"/>
      <c r="J28" s="10" t="s">
        <v>76</v>
      </c>
      <c r="K28" s="10" t="s">
        <v>54</v>
      </c>
      <c r="L28" s="10" t="s">
        <v>285</v>
      </c>
      <c r="M28" s="10" t="s">
        <v>286</v>
      </c>
      <c r="N28" s="12">
        <v>43901</v>
      </c>
      <c r="O28" s="13" t="s">
        <v>120</v>
      </c>
      <c r="P28" s="13" t="s">
        <v>119</v>
      </c>
      <c r="Q28" s="13" t="s">
        <v>119</v>
      </c>
      <c r="R28" s="13" t="s">
        <v>120</v>
      </c>
      <c r="S28" s="13" t="s">
        <v>119</v>
      </c>
    </row>
    <row r="29" spans="2:23" x14ac:dyDescent="0.25">
      <c r="B29" s="10">
        <v>3905</v>
      </c>
      <c r="C29" s="10" t="s">
        <v>191</v>
      </c>
      <c r="D29" s="10" t="s">
        <v>58</v>
      </c>
      <c r="E29" s="10" t="s">
        <v>60</v>
      </c>
      <c r="F29" s="27">
        <v>0.4</v>
      </c>
      <c r="G29" s="10" t="s">
        <v>154</v>
      </c>
      <c r="H29" s="12">
        <v>43901.708773148152</v>
      </c>
      <c r="I29" s="12"/>
      <c r="J29" s="10" t="s">
        <v>76</v>
      </c>
      <c r="K29" s="10" t="s">
        <v>54</v>
      </c>
      <c r="L29" s="10" t="s">
        <v>287</v>
      </c>
      <c r="M29" s="10" t="s">
        <v>288</v>
      </c>
      <c r="N29" s="12">
        <v>43901</v>
      </c>
      <c r="O29" s="13" t="s">
        <v>120</v>
      </c>
      <c r="P29" s="13" t="s">
        <v>119</v>
      </c>
      <c r="Q29" s="13" t="s">
        <v>119</v>
      </c>
      <c r="R29" s="13" t="s">
        <v>120</v>
      </c>
      <c r="S29" s="13" t="s">
        <v>119</v>
      </c>
    </row>
    <row r="30" spans="2:23" x14ac:dyDescent="0.25">
      <c r="B30" s="10">
        <v>3893</v>
      </c>
      <c r="C30" s="10" t="s">
        <v>192</v>
      </c>
      <c r="D30" s="10" t="s">
        <v>58</v>
      </c>
      <c r="E30" s="10" t="s">
        <v>60</v>
      </c>
      <c r="F30" s="27">
        <v>0.4</v>
      </c>
      <c r="G30" s="10" t="s">
        <v>155</v>
      </c>
      <c r="H30" s="12">
        <v>43894.756527777776</v>
      </c>
      <c r="I30" s="12"/>
      <c r="J30" s="10" t="s">
        <v>50</v>
      </c>
      <c r="K30" s="10" t="s">
        <v>57</v>
      </c>
      <c r="L30" s="10" t="s">
        <v>289</v>
      </c>
      <c r="M30" s="10" t="s">
        <v>290</v>
      </c>
      <c r="N30" s="12">
        <v>43909</v>
      </c>
      <c r="O30" s="13" t="s">
        <v>120</v>
      </c>
      <c r="P30" s="13" t="s">
        <v>120</v>
      </c>
      <c r="Q30" s="13" t="s">
        <v>120</v>
      </c>
      <c r="R30" s="13" t="s">
        <v>119</v>
      </c>
      <c r="S30" s="13" t="s">
        <v>119</v>
      </c>
    </row>
    <row r="31" spans="2:23" x14ac:dyDescent="0.25">
      <c r="B31" s="10">
        <v>3885</v>
      </c>
      <c r="C31" s="10" t="s">
        <v>193</v>
      </c>
      <c r="D31" s="10" t="s">
        <v>58</v>
      </c>
      <c r="E31" s="10" t="s">
        <v>60</v>
      </c>
      <c r="F31" s="27">
        <v>0.4</v>
      </c>
      <c r="G31" s="10" t="s">
        <v>156</v>
      </c>
      <c r="H31" s="12">
        <v>43888.465243055558</v>
      </c>
      <c r="I31" s="12"/>
      <c r="J31" s="10" t="s">
        <v>107</v>
      </c>
      <c r="K31" s="10" t="s">
        <v>57</v>
      </c>
      <c r="L31" s="10" t="s">
        <v>291</v>
      </c>
      <c r="M31" s="10" t="s">
        <v>292</v>
      </c>
      <c r="N31" s="12">
        <v>43888</v>
      </c>
      <c r="O31" s="13" t="s">
        <v>120</v>
      </c>
      <c r="P31" s="13" t="s">
        <v>120</v>
      </c>
      <c r="Q31" s="13" t="s">
        <v>119</v>
      </c>
      <c r="R31" s="13" t="s">
        <v>120</v>
      </c>
      <c r="S31" s="13" t="s">
        <v>120</v>
      </c>
    </row>
    <row r="32" spans="2:23" x14ac:dyDescent="0.25">
      <c r="B32" s="10">
        <v>3875</v>
      </c>
      <c r="C32" s="10" t="s">
        <v>194</v>
      </c>
      <c r="D32" s="10" t="s">
        <v>58</v>
      </c>
      <c r="E32" s="10" t="s">
        <v>60</v>
      </c>
      <c r="F32" s="27">
        <v>0.4</v>
      </c>
      <c r="G32" s="10" t="s">
        <v>157</v>
      </c>
      <c r="H32" s="12">
        <v>43880.792222222219</v>
      </c>
      <c r="I32" s="12"/>
      <c r="J32" s="10" t="s">
        <v>49</v>
      </c>
      <c r="K32" s="10" t="s">
        <v>55</v>
      </c>
      <c r="L32" s="10" t="s">
        <v>293</v>
      </c>
      <c r="M32" s="10" t="s">
        <v>294</v>
      </c>
      <c r="N32" s="12">
        <v>43908</v>
      </c>
      <c r="O32" s="13" t="s">
        <v>120</v>
      </c>
      <c r="P32" s="13" t="s">
        <v>120</v>
      </c>
      <c r="Q32" s="13" t="s">
        <v>120</v>
      </c>
      <c r="R32" s="13" t="s">
        <v>120</v>
      </c>
      <c r="S32" s="13" t="s">
        <v>119</v>
      </c>
    </row>
    <row r="33" spans="2:19" x14ac:dyDescent="0.25">
      <c r="B33" s="10">
        <v>3813</v>
      </c>
      <c r="C33" s="10" t="s">
        <v>195</v>
      </c>
      <c r="D33" s="10" t="s">
        <v>58</v>
      </c>
      <c r="E33" s="10" t="s">
        <v>60</v>
      </c>
      <c r="F33" s="27">
        <v>0.4</v>
      </c>
      <c r="G33" s="10" t="s">
        <v>152</v>
      </c>
      <c r="H33" s="12">
        <v>43861.407557870371</v>
      </c>
      <c r="I33" s="12"/>
      <c r="J33" s="10" t="s">
        <v>48</v>
      </c>
      <c r="K33" s="10" t="s">
        <v>55</v>
      </c>
      <c r="L33" s="10" t="s">
        <v>295</v>
      </c>
      <c r="M33" s="10" t="s">
        <v>296</v>
      </c>
      <c r="N33" s="12">
        <v>43861</v>
      </c>
      <c r="O33" s="13" t="s">
        <v>120</v>
      </c>
      <c r="P33" s="13" t="s">
        <v>120</v>
      </c>
      <c r="Q33" s="13" t="s">
        <v>120</v>
      </c>
      <c r="R33" s="13" t="s">
        <v>120</v>
      </c>
      <c r="S33" s="13" t="s">
        <v>119</v>
      </c>
    </row>
    <row r="34" spans="2:19" x14ac:dyDescent="0.25">
      <c r="B34" s="10">
        <v>3801</v>
      </c>
      <c r="C34" s="10" t="s">
        <v>196</v>
      </c>
      <c r="D34" s="10" t="s">
        <v>58</v>
      </c>
      <c r="E34" s="10" t="s">
        <v>60</v>
      </c>
      <c r="F34" s="27">
        <v>0.6</v>
      </c>
      <c r="G34" s="10" t="s">
        <v>153</v>
      </c>
      <c r="H34" s="12">
        <v>43854.642141203702</v>
      </c>
      <c r="I34" s="12"/>
      <c r="J34" s="10" t="s">
        <v>50</v>
      </c>
      <c r="K34" s="10" t="s">
        <v>55</v>
      </c>
      <c r="L34" s="10" t="s">
        <v>297</v>
      </c>
      <c r="M34" s="10" t="s">
        <v>298</v>
      </c>
      <c r="N34" s="12">
        <v>43861</v>
      </c>
      <c r="O34" s="13" t="s">
        <v>120</v>
      </c>
      <c r="P34" s="13" t="s">
        <v>120</v>
      </c>
      <c r="Q34" s="13" t="s">
        <v>120</v>
      </c>
      <c r="R34" s="13" t="s">
        <v>120</v>
      </c>
      <c r="S34" s="13" t="s">
        <v>119</v>
      </c>
    </row>
    <row r="35" spans="2:19" x14ac:dyDescent="0.25">
      <c r="B35" s="10">
        <v>3799</v>
      </c>
      <c r="C35" s="10" t="s">
        <v>197</v>
      </c>
      <c r="D35" s="10" t="s">
        <v>58</v>
      </c>
      <c r="E35" s="10" t="s">
        <v>62</v>
      </c>
      <c r="F35" s="27">
        <v>0.4</v>
      </c>
      <c r="G35" s="10" t="s">
        <v>154</v>
      </c>
      <c r="H35" s="12">
        <v>43853.858171296299</v>
      </c>
      <c r="I35" s="12"/>
      <c r="J35" s="10" t="s">
        <v>50</v>
      </c>
      <c r="K35" s="10" t="s">
        <v>57</v>
      </c>
      <c r="L35" s="10" t="s">
        <v>299</v>
      </c>
      <c r="M35" s="10" t="s">
        <v>300</v>
      </c>
      <c r="N35" s="12">
        <v>43861</v>
      </c>
      <c r="O35" s="13" t="s">
        <v>120</v>
      </c>
      <c r="P35" s="13" t="s">
        <v>119</v>
      </c>
      <c r="Q35" s="13" t="s">
        <v>119</v>
      </c>
      <c r="R35" s="13" t="s">
        <v>120</v>
      </c>
      <c r="S35" s="13" t="s">
        <v>119</v>
      </c>
    </row>
    <row r="36" spans="2:19" x14ac:dyDescent="0.25">
      <c r="B36" s="10">
        <v>3788</v>
      </c>
      <c r="C36" s="10" t="s">
        <v>198</v>
      </c>
      <c r="D36" s="10" t="s">
        <v>58</v>
      </c>
      <c r="E36" s="10" t="s">
        <v>62</v>
      </c>
      <c r="F36" s="27">
        <v>0.4</v>
      </c>
      <c r="G36" s="10" t="s">
        <v>155</v>
      </c>
      <c r="H36" s="12">
        <v>43850.613194444442</v>
      </c>
      <c r="I36" s="12"/>
      <c r="J36" s="10" t="s">
        <v>50</v>
      </c>
      <c r="K36" s="10" t="s">
        <v>54</v>
      </c>
      <c r="L36" s="10" t="s">
        <v>301</v>
      </c>
      <c r="M36" s="10" t="s">
        <v>302</v>
      </c>
      <c r="N36" s="12">
        <v>43850</v>
      </c>
      <c r="O36" s="13" t="s">
        <v>120</v>
      </c>
      <c r="P36" s="13" t="s">
        <v>119</v>
      </c>
      <c r="Q36" s="13" t="s">
        <v>119</v>
      </c>
      <c r="R36" s="13" t="s">
        <v>119</v>
      </c>
      <c r="S36" s="13" t="s">
        <v>120</v>
      </c>
    </row>
    <row r="37" spans="2:19" x14ac:dyDescent="0.25">
      <c r="B37" s="10">
        <v>3768</v>
      </c>
      <c r="C37" s="10" t="s">
        <v>199</v>
      </c>
      <c r="D37" s="10" t="s">
        <v>58</v>
      </c>
      <c r="E37" s="10" t="s">
        <v>62</v>
      </c>
      <c r="F37" s="27">
        <v>0.4</v>
      </c>
      <c r="G37" s="10" t="s">
        <v>156</v>
      </c>
      <c r="H37" s="12">
        <v>43843.691180555557</v>
      </c>
      <c r="I37" s="12"/>
      <c r="J37" s="10" t="s">
        <v>50</v>
      </c>
      <c r="K37" s="10" t="s">
        <v>53</v>
      </c>
      <c r="L37" s="10" t="s">
        <v>303</v>
      </c>
      <c r="M37" s="10" t="s">
        <v>304</v>
      </c>
      <c r="N37" s="12">
        <v>43843</v>
      </c>
      <c r="O37" s="13" t="s">
        <v>120</v>
      </c>
      <c r="P37" s="13" t="s">
        <v>119</v>
      </c>
      <c r="Q37" s="13" t="s">
        <v>119</v>
      </c>
      <c r="R37" s="13" t="s">
        <v>120</v>
      </c>
      <c r="S37" s="13" t="s">
        <v>119</v>
      </c>
    </row>
    <row r="38" spans="2:19" x14ac:dyDescent="0.25">
      <c r="B38" s="10">
        <v>3758</v>
      </c>
      <c r="C38" s="10" t="s">
        <v>200</v>
      </c>
      <c r="D38" s="10" t="s">
        <v>58</v>
      </c>
      <c r="E38" s="10" t="s">
        <v>62</v>
      </c>
      <c r="F38" s="27">
        <v>0.4</v>
      </c>
      <c r="G38" s="10" t="s">
        <v>157</v>
      </c>
      <c r="H38" s="12">
        <v>43839.476712962962</v>
      </c>
      <c r="I38" s="12"/>
      <c r="J38" s="10" t="s">
        <v>9</v>
      </c>
      <c r="K38" s="10" t="s">
        <v>53</v>
      </c>
      <c r="L38" s="10" t="s">
        <v>305</v>
      </c>
      <c r="M38" s="10" t="s">
        <v>306</v>
      </c>
      <c r="N38" s="12">
        <v>43839</v>
      </c>
      <c r="O38" s="13" t="s">
        <v>120</v>
      </c>
      <c r="P38" s="13" t="s">
        <v>119</v>
      </c>
      <c r="Q38" s="13" t="s">
        <v>119</v>
      </c>
      <c r="R38" s="13" t="s">
        <v>119</v>
      </c>
      <c r="S38" s="13" t="s">
        <v>119</v>
      </c>
    </row>
    <row r="39" spans="2:19" x14ac:dyDescent="0.25">
      <c r="B39" s="10">
        <v>3738</v>
      </c>
      <c r="C39" s="10" t="s">
        <v>201</v>
      </c>
      <c r="D39" s="10" t="s">
        <v>58</v>
      </c>
      <c r="E39" s="10" t="s">
        <v>60</v>
      </c>
      <c r="F39" s="27">
        <v>0.4</v>
      </c>
      <c r="G39" s="10" t="s">
        <v>152</v>
      </c>
      <c r="H39" s="12">
        <v>43833.543020833335</v>
      </c>
      <c r="I39" s="12"/>
      <c r="J39" s="10" t="s">
        <v>50</v>
      </c>
      <c r="K39" s="10" t="s">
        <v>55</v>
      </c>
      <c r="L39" s="10" t="s">
        <v>307</v>
      </c>
      <c r="M39" s="10" t="s">
        <v>308</v>
      </c>
      <c r="N39" s="12">
        <v>43833</v>
      </c>
      <c r="O39" s="13" t="s">
        <v>120</v>
      </c>
      <c r="P39" s="13" t="s">
        <v>120</v>
      </c>
      <c r="Q39" s="13" t="s">
        <v>120</v>
      </c>
      <c r="R39" s="13" t="s">
        <v>120</v>
      </c>
      <c r="S39" s="13" t="s">
        <v>119</v>
      </c>
    </row>
    <row r="40" spans="2:19" x14ac:dyDescent="0.25">
      <c r="B40" s="10">
        <v>3736</v>
      </c>
      <c r="C40" s="10" t="s">
        <v>202</v>
      </c>
      <c r="D40" s="10" t="s">
        <v>58</v>
      </c>
      <c r="E40" s="10" t="s">
        <v>60</v>
      </c>
      <c r="F40" s="27">
        <v>0.4</v>
      </c>
      <c r="G40" s="10" t="s">
        <v>153</v>
      </c>
      <c r="H40" s="12">
        <v>43833.514189814814</v>
      </c>
      <c r="I40" s="12"/>
      <c r="J40" s="10" t="s">
        <v>50</v>
      </c>
      <c r="K40" s="10" t="s">
        <v>55</v>
      </c>
      <c r="L40" s="10" t="s">
        <v>309</v>
      </c>
      <c r="M40" s="10" t="s">
        <v>310</v>
      </c>
      <c r="N40" s="12">
        <v>43837</v>
      </c>
      <c r="O40" s="13" t="s">
        <v>120</v>
      </c>
      <c r="P40" s="13" t="s">
        <v>120</v>
      </c>
      <c r="Q40" s="13" t="s">
        <v>119</v>
      </c>
      <c r="R40" s="13" t="s">
        <v>120</v>
      </c>
      <c r="S40" s="13" t="s">
        <v>119</v>
      </c>
    </row>
    <row r="41" spans="2:19" x14ac:dyDescent="0.25">
      <c r="B41" s="10">
        <v>3692</v>
      </c>
      <c r="C41" s="10" t="s">
        <v>203</v>
      </c>
      <c r="D41" s="10" t="s">
        <v>58</v>
      </c>
      <c r="E41" s="10" t="s">
        <v>60</v>
      </c>
      <c r="F41" s="27">
        <v>0.4</v>
      </c>
      <c r="G41" s="10" t="s">
        <v>154</v>
      </c>
      <c r="H41" s="12">
        <v>43804.602025462962</v>
      </c>
      <c r="I41" s="12"/>
      <c r="J41" s="10" t="s">
        <v>90</v>
      </c>
      <c r="K41" s="10" t="s">
        <v>55</v>
      </c>
      <c r="L41" s="10" t="s">
        <v>311</v>
      </c>
      <c r="M41" s="10" t="s">
        <v>312</v>
      </c>
      <c r="N41" s="12">
        <v>43819</v>
      </c>
      <c r="O41" s="13" t="s">
        <v>120</v>
      </c>
      <c r="P41" s="13" t="s">
        <v>120</v>
      </c>
      <c r="Q41" s="13" t="s">
        <v>120</v>
      </c>
      <c r="R41" s="13" t="s">
        <v>120</v>
      </c>
      <c r="S41" s="13" t="s">
        <v>119</v>
      </c>
    </row>
    <row r="42" spans="2:19" x14ac:dyDescent="0.25">
      <c r="B42" s="10">
        <v>3686</v>
      </c>
      <c r="C42" s="10" t="s">
        <v>204</v>
      </c>
      <c r="D42" s="10" t="s">
        <v>58</v>
      </c>
      <c r="E42" s="10" t="s">
        <v>60</v>
      </c>
      <c r="F42" s="27">
        <v>0.4</v>
      </c>
      <c r="G42" s="10" t="s">
        <v>155</v>
      </c>
      <c r="H42" s="12">
        <v>43803.813796296294</v>
      </c>
      <c r="I42" s="12"/>
      <c r="J42" s="10" t="s">
        <v>50</v>
      </c>
      <c r="K42" s="10" t="s">
        <v>57</v>
      </c>
      <c r="L42" s="10" t="s">
        <v>313</v>
      </c>
      <c r="M42" s="10" t="s">
        <v>314</v>
      </c>
      <c r="N42" s="12">
        <v>43803</v>
      </c>
      <c r="O42" s="13" t="s">
        <v>119</v>
      </c>
      <c r="P42" s="13" t="s">
        <v>119</v>
      </c>
      <c r="Q42" s="13" t="s">
        <v>119</v>
      </c>
      <c r="R42" s="13" t="s">
        <v>120</v>
      </c>
      <c r="S42" s="13" t="s">
        <v>119</v>
      </c>
    </row>
    <row r="43" spans="2:19" x14ac:dyDescent="0.25">
      <c r="B43" s="10">
        <v>3684</v>
      </c>
      <c r="C43" s="10" t="s">
        <v>205</v>
      </c>
      <c r="D43" s="10" t="s">
        <v>58</v>
      </c>
      <c r="E43" s="10" t="s">
        <v>62</v>
      </c>
      <c r="F43" s="27">
        <v>0.8</v>
      </c>
      <c r="G43" s="10" t="s">
        <v>156</v>
      </c>
      <c r="H43" s="12">
        <v>43803.49114583333</v>
      </c>
      <c r="I43" s="12"/>
      <c r="J43" s="10" t="s">
        <v>49</v>
      </c>
      <c r="K43" s="10" t="s">
        <v>87</v>
      </c>
      <c r="L43" s="10" t="s">
        <v>315</v>
      </c>
      <c r="M43" s="10" t="s">
        <v>316</v>
      </c>
      <c r="N43" s="12">
        <v>43803</v>
      </c>
      <c r="O43" s="13" t="s">
        <v>119</v>
      </c>
      <c r="P43" s="13" t="s">
        <v>119</v>
      </c>
      <c r="Q43" s="13" t="s">
        <v>119</v>
      </c>
      <c r="R43" s="13" t="s">
        <v>119</v>
      </c>
      <c r="S43" s="13" t="s">
        <v>119</v>
      </c>
    </row>
    <row r="44" spans="2:19" x14ac:dyDescent="0.25">
      <c r="B44" s="10">
        <v>3628</v>
      </c>
      <c r="C44" s="10" t="s">
        <v>206</v>
      </c>
      <c r="D44" s="10" t="s">
        <v>58</v>
      </c>
      <c r="E44" s="10" t="s">
        <v>60</v>
      </c>
      <c r="F44" s="27">
        <v>0.6</v>
      </c>
      <c r="G44" s="10" t="s">
        <v>157</v>
      </c>
      <c r="H44" s="12">
        <v>43781.781793981485</v>
      </c>
      <c r="I44" s="12"/>
      <c r="J44" s="10" t="s">
        <v>50</v>
      </c>
      <c r="K44" s="10" t="s">
        <v>55</v>
      </c>
      <c r="L44" s="10" t="s">
        <v>317</v>
      </c>
      <c r="M44" s="10" t="s">
        <v>318</v>
      </c>
      <c r="N44" s="12">
        <v>43798</v>
      </c>
      <c r="O44" s="13" t="s">
        <v>120</v>
      </c>
      <c r="P44" s="13" t="s">
        <v>119</v>
      </c>
      <c r="Q44" s="13" t="s">
        <v>119</v>
      </c>
      <c r="R44" s="13" t="s">
        <v>120</v>
      </c>
      <c r="S44" s="13" t="s">
        <v>119</v>
      </c>
    </row>
    <row r="45" spans="2:19" x14ac:dyDescent="0.25">
      <c r="B45" s="10">
        <v>3534</v>
      </c>
      <c r="C45" s="10" t="s">
        <v>207</v>
      </c>
      <c r="D45" s="10" t="s">
        <v>58</v>
      </c>
      <c r="E45" s="10" t="s">
        <v>60</v>
      </c>
      <c r="F45" s="27">
        <v>0.4</v>
      </c>
      <c r="G45" s="10" t="s">
        <v>152</v>
      </c>
      <c r="H45" s="12">
        <v>43767.616331018522</v>
      </c>
      <c r="I45" s="12"/>
      <c r="J45" s="10" t="s">
        <v>50</v>
      </c>
      <c r="K45" s="10" t="s">
        <v>57</v>
      </c>
      <c r="L45" s="10" t="s">
        <v>319</v>
      </c>
      <c r="M45" s="10" t="s">
        <v>320</v>
      </c>
      <c r="N45" s="12">
        <v>43767</v>
      </c>
      <c r="O45" s="13" t="s">
        <v>120</v>
      </c>
      <c r="P45" s="13" t="s">
        <v>119</v>
      </c>
      <c r="Q45" s="13" t="s">
        <v>119</v>
      </c>
      <c r="R45" s="13" t="s">
        <v>120</v>
      </c>
      <c r="S45" s="13" t="s">
        <v>119</v>
      </c>
    </row>
    <row r="46" spans="2:19" x14ac:dyDescent="0.25">
      <c r="B46" s="10">
        <v>3524</v>
      </c>
      <c r="C46" s="10" t="s">
        <v>208</v>
      </c>
      <c r="D46" s="10" t="s">
        <v>58</v>
      </c>
      <c r="E46" s="10" t="s">
        <v>60</v>
      </c>
      <c r="F46" s="27">
        <v>0.4</v>
      </c>
      <c r="G46" s="10" t="s">
        <v>153</v>
      </c>
      <c r="H46" s="12">
        <v>43763.653703703705</v>
      </c>
      <c r="I46" s="12"/>
      <c r="J46" s="10" t="s">
        <v>50</v>
      </c>
      <c r="K46" s="10" t="s">
        <v>123</v>
      </c>
      <c r="L46" s="10" t="s">
        <v>321</v>
      </c>
      <c r="M46" s="10" t="s">
        <v>322</v>
      </c>
      <c r="N46" s="12">
        <v>43776</v>
      </c>
      <c r="O46" s="13" t="s">
        <v>119</v>
      </c>
      <c r="P46" s="13" t="s">
        <v>119</v>
      </c>
      <c r="Q46" s="13" t="s">
        <v>120</v>
      </c>
      <c r="R46" s="13" t="s">
        <v>120</v>
      </c>
      <c r="S46" s="13" t="s">
        <v>119</v>
      </c>
    </row>
    <row r="47" spans="2:19" x14ac:dyDescent="0.25">
      <c r="B47" s="10">
        <v>3458</v>
      </c>
      <c r="C47" s="10" t="s">
        <v>209</v>
      </c>
      <c r="D47" s="10" t="s">
        <v>58</v>
      </c>
      <c r="E47" s="10" t="s">
        <v>60</v>
      </c>
      <c r="F47" s="27">
        <v>0.8</v>
      </c>
      <c r="G47" s="10" t="s">
        <v>154</v>
      </c>
      <c r="H47" s="12">
        <v>43752.447731481479</v>
      </c>
      <c r="I47" s="12"/>
      <c r="J47" s="10" t="s">
        <v>50</v>
      </c>
      <c r="K47" s="10" t="s">
        <v>55</v>
      </c>
      <c r="L47" s="10" t="s">
        <v>323</v>
      </c>
      <c r="M47" s="10" t="s">
        <v>324</v>
      </c>
      <c r="N47" s="12">
        <v>43759</v>
      </c>
      <c r="O47" s="13" t="s">
        <v>120</v>
      </c>
      <c r="P47" s="13" t="s">
        <v>120</v>
      </c>
      <c r="Q47" s="13" t="s">
        <v>120</v>
      </c>
      <c r="R47" s="13" t="s">
        <v>120</v>
      </c>
      <c r="S47" s="13" t="s">
        <v>119</v>
      </c>
    </row>
    <row r="48" spans="2:19" x14ac:dyDescent="0.25">
      <c r="B48" s="10">
        <v>3436</v>
      </c>
      <c r="C48" s="10" t="s">
        <v>210</v>
      </c>
      <c r="D48" s="10" t="s">
        <v>58</v>
      </c>
      <c r="E48" s="10" t="s">
        <v>60</v>
      </c>
      <c r="F48" s="27">
        <v>0.4</v>
      </c>
      <c r="G48" s="10" t="s">
        <v>155</v>
      </c>
      <c r="H48" s="12">
        <v>43741.806145833332</v>
      </c>
      <c r="I48" s="12"/>
      <c r="J48" s="10" t="s">
        <v>90</v>
      </c>
      <c r="K48" s="10" t="s">
        <v>55</v>
      </c>
      <c r="L48" s="10" t="s">
        <v>325</v>
      </c>
      <c r="M48" s="10" t="s">
        <v>326</v>
      </c>
      <c r="N48" s="12">
        <v>43742</v>
      </c>
      <c r="O48" s="13" t="s">
        <v>120</v>
      </c>
      <c r="P48" s="13" t="s">
        <v>120</v>
      </c>
      <c r="Q48" s="13" t="s">
        <v>120</v>
      </c>
      <c r="R48" s="13" t="s">
        <v>119</v>
      </c>
      <c r="S48" s="13" t="s">
        <v>119</v>
      </c>
    </row>
    <row r="49" spans="2:19" x14ac:dyDescent="0.25">
      <c r="B49" s="10">
        <v>3322</v>
      </c>
      <c r="C49" s="10" t="s">
        <v>211</v>
      </c>
      <c r="D49" s="10" t="s">
        <v>58</v>
      </c>
      <c r="E49" s="10" t="s">
        <v>60</v>
      </c>
      <c r="F49" s="27">
        <v>0.4</v>
      </c>
      <c r="G49" s="10" t="s">
        <v>156</v>
      </c>
      <c r="H49" s="12">
        <v>43693.752847222226</v>
      </c>
      <c r="I49" s="12"/>
      <c r="J49" s="10" t="s">
        <v>50</v>
      </c>
      <c r="K49" s="10" t="s">
        <v>55</v>
      </c>
      <c r="L49" s="10" t="s">
        <v>327</v>
      </c>
      <c r="M49" s="10" t="s">
        <v>328</v>
      </c>
      <c r="N49" s="12">
        <v>43696</v>
      </c>
      <c r="O49" s="13" t="s">
        <v>120</v>
      </c>
      <c r="P49" s="13" t="s">
        <v>120</v>
      </c>
      <c r="Q49" s="13" t="s">
        <v>120</v>
      </c>
      <c r="R49" s="13" t="s">
        <v>120</v>
      </c>
      <c r="S49" s="13" t="s">
        <v>119</v>
      </c>
    </row>
    <row r="50" spans="2:19" x14ac:dyDescent="0.25">
      <c r="B50" s="10">
        <v>3320</v>
      </c>
      <c r="C50" s="10" t="s">
        <v>212</v>
      </c>
      <c r="D50" s="10" t="s">
        <v>58</v>
      </c>
      <c r="E50" s="10" t="s">
        <v>60</v>
      </c>
      <c r="F50" s="27">
        <v>0.4</v>
      </c>
      <c r="G50" s="10" t="s">
        <v>157</v>
      </c>
      <c r="H50" s="12">
        <v>43693.745057870372</v>
      </c>
      <c r="I50" s="12"/>
      <c r="J50" s="10" t="s">
        <v>50</v>
      </c>
      <c r="K50" s="10" t="s">
        <v>55</v>
      </c>
      <c r="L50" s="10" t="s">
        <v>329</v>
      </c>
      <c r="M50" s="10" t="s">
        <v>330</v>
      </c>
      <c r="N50" s="12">
        <v>43696</v>
      </c>
      <c r="O50" s="13" t="s">
        <v>120</v>
      </c>
      <c r="P50" s="13" t="s">
        <v>120</v>
      </c>
      <c r="Q50" s="13" t="s">
        <v>120</v>
      </c>
      <c r="R50" s="13" t="s">
        <v>120</v>
      </c>
      <c r="S50" s="13" t="s">
        <v>119</v>
      </c>
    </row>
    <row r="51" spans="2:19" x14ac:dyDescent="0.25">
      <c r="B51" s="10">
        <v>3268</v>
      </c>
      <c r="C51" s="10" t="s">
        <v>213</v>
      </c>
      <c r="D51" s="10" t="s">
        <v>58</v>
      </c>
      <c r="E51" s="10" t="s">
        <v>60</v>
      </c>
      <c r="F51" s="27">
        <v>0.4</v>
      </c>
      <c r="G51" s="10" t="s">
        <v>152</v>
      </c>
      <c r="H51" s="12">
        <v>43675.634745370371</v>
      </c>
      <c r="I51" s="12"/>
      <c r="J51" s="10" t="s">
        <v>50</v>
      </c>
      <c r="K51" s="10" t="s">
        <v>55</v>
      </c>
      <c r="L51" s="10" t="s">
        <v>331</v>
      </c>
      <c r="M51" s="10" t="s">
        <v>332</v>
      </c>
      <c r="N51" s="12">
        <v>43675</v>
      </c>
      <c r="O51" s="13" t="s">
        <v>119</v>
      </c>
      <c r="P51" s="13" t="s">
        <v>119</v>
      </c>
      <c r="Q51" s="13" t="s">
        <v>119</v>
      </c>
      <c r="R51" s="13" t="s">
        <v>120</v>
      </c>
      <c r="S51" s="13" t="s">
        <v>119</v>
      </c>
    </row>
    <row r="52" spans="2:19" x14ac:dyDescent="0.25">
      <c r="B52" s="10">
        <v>3254</v>
      </c>
      <c r="C52" s="10" t="s">
        <v>214</v>
      </c>
      <c r="D52" s="10" t="s">
        <v>122</v>
      </c>
      <c r="E52" s="10" t="s">
        <v>60</v>
      </c>
      <c r="F52" s="27">
        <v>0.6</v>
      </c>
      <c r="G52" s="10" t="s">
        <v>153</v>
      </c>
      <c r="H52" s="12">
        <v>43669.666898148149</v>
      </c>
      <c r="I52" s="12"/>
      <c r="J52" s="10" t="s">
        <v>50</v>
      </c>
      <c r="K52" s="10" t="s">
        <v>55</v>
      </c>
      <c r="L52" s="10" t="s">
        <v>333</v>
      </c>
      <c r="M52" s="10" t="s">
        <v>334</v>
      </c>
      <c r="N52" s="12">
        <v>43669</v>
      </c>
      <c r="O52" s="13" t="s">
        <v>120</v>
      </c>
      <c r="P52" s="13" t="s">
        <v>119</v>
      </c>
      <c r="Q52" s="13" t="s">
        <v>120</v>
      </c>
      <c r="R52" s="13" t="s">
        <v>120</v>
      </c>
      <c r="S52" s="13" t="s">
        <v>119</v>
      </c>
    </row>
    <row r="53" spans="2:19" x14ac:dyDescent="0.25">
      <c r="B53" s="10">
        <v>3230</v>
      </c>
      <c r="C53" s="10" t="s">
        <v>215</v>
      </c>
      <c r="D53" s="10" t="s">
        <v>58</v>
      </c>
      <c r="E53" s="10" t="s">
        <v>60</v>
      </c>
      <c r="F53" s="27">
        <v>0.6</v>
      </c>
      <c r="G53" s="10" t="s">
        <v>154</v>
      </c>
      <c r="H53" s="12">
        <v>43663.558032407411</v>
      </c>
      <c r="I53" s="12"/>
      <c r="J53" s="10" t="s">
        <v>49</v>
      </c>
      <c r="K53" s="10" t="s">
        <v>77</v>
      </c>
      <c r="L53" s="10" t="s">
        <v>335</v>
      </c>
      <c r="M53" s="10" t="s">
        <v>336</v>
      </c>
      <c r="N53" s="12">
        <v>43740</v>
      </c>
      <c r="O53" s="13" t="s">
        <v>119</v>
      </c>
      <c r="P53" s="13" t="s">
        <v>119</v>
      </c>
      <c r="Q53" s="13" t="s">
        <v>120</v>
      </c>
      <c r="R53" s="13" t="s">
        <v>119</v>
      </c>
      <c r="S53" s="13" t="s">
        <v>119</v>
      </c>
    </row>
    <row r="54" spans="2:19" x14ac:dyDescent="0.25">
      <c r="B54" s="10">
        <v>3194</v>
      </c>
      <c r="C54" s="10" t="s">
        <v>216</v>
      </c>
      <c r="D54" s="10" t="s">
        <v>58</v>
      </c>
      <c r="E54" s="10" t="s">
        <v>60</v>
      </c>
      <c r="F54" s="27">
        <v>0.6</v>
      </c>
      <c r="G54" s="10" t="s">
        <v>155</v>
      </c>
      <c r="H54" s="12">
        <v>43654.674328703702</v>
      </c>
      <c r="I54" s="12"/>
      <c r="J54" s="10" t="s">
        <v>50</v>
      </c>
      <c r="K54" s="10" t="s">
        <v>55</v>
      </c>
      <c r="L54" s="10" t="s">
        <v>337</v>
      </c>
      <c r="M54" s="10" t="s">
        <v>338</v>
      </c>
      <c r="N54" s="12">
        <v>43740</v>
      </c>
      <c r="O54" s="13" t="s">
        <v>120</v>
      </c>
      <c r="P54" s="13" t="s">
        <v>120</v>
      </c>
      <c r="Q54" s="13" t="s">
        <v>119</v>
      </c>
      <c r="R54" s="13" t="s">
        <v>120</v>
      </c>
      <c r="S54" s="13" t="s">
        <v>119</v>
      </c>
    </row>
    <row r="55" spans="2:19" x14ac:dyDescent="0.25">
      <c r="B55" s="10">
        <v>3106</v>
      </c>
      <c r="C55" s="10" t="s">
        <v>217</v>
      </c>
      <c r="D55" s="10" t="s">
        <v>58</v>
      </c>
      <c r="E55" s="10" t="s">
        <v>60</v>
      </c>
      <c r="F55" s="27">
        <v>0.4</v>
      </c>
      <c r="G55" s="10" t="s">
        <v>156</v>
      </c>
      <c r="H55" s="12">
        <v>43633.569525462961</v>
      </c>
      <c r="I55" s="12"/>
      <c r="J55" s="10" t="s">
        <v>50</v>
      </c>
      <c r="K55" s="10" t="s">
        <v>51</v>
      </c>
      <c r="L55" s="10" t="s">
        <v>339</v>
      </c>
      <c r="M55" s="10" t="s">
        <v>340</v>
      </c>
      <c r="N55" s="12">
        <v>43873</v>
      </c>
      <c r="O55" s="13" t="s">
        <v>120</v>
      </c>
      <c r="P55" s="13" t="s">
        <v>120</v>
      </c>
      <c r="Q55" s="13" t="s">
        <v>120</v>
      </c>
      <c r="R55" s="13" t="s">
        <v>120</v>
      </c>
      <c r="S55" s="13" t="s">
        <v>119</v>
      </c>
    </row>
    <row r="56" spans="2:19" x14ac:dyDescent="0.25">
      <c r="B56" s="10">
        <v>3100</v>
      </c>
      <c r="C56" s="10" t="s">
        <v>218</v>
      </c>
      <c r="D56" s="10" t="s">
        <v>58</v>
      </c>
      <c r="E56" s="10" t="s">
        <v>60</v>
      </c>
      <c r="F56" s="27">
        <v>0.4</v>
      </c>
      <c r="G56" s="10" t="s">
        <v>157</v>
      </c>
      <c r="H56" s="12">
        <v>43632.780821759261</v>
      </c>
      <c r="I56" s="12"/>
      <c r="J56" s="10" t="s">
        <v>90</v>
      </c>
      <c r="K56" s="10" t="s">
        <v>55</v>
      </c>
      <c r="L56" s="10" t="s">
        <v>341</v>
      </c>
      <c r="M56" s="10" t="s">
        <v>342</v>
      </c>
      <c r="N56" s="12">
        <v>43632</v>
      </c>
      <c r="O56" s="13" t="s">
        <v>120</v>
      </c>
      <c r="P56" s="13" t="s">
        <v>119</v>
      </c>
      <c r="Q56" s="13" t="s">
        <v>119</v>
      </c>
      <c r="R56" s="13" t="s">
        <v>120</v>
      </c>
      <c r="S56" s="13" t="s">
        <v>119</v>
      </c>
    </row>
    <row r="57" spans="2:19" x14ac:dyDescent="0.25">
      <c r="B57" s="10">
        <v>3066</v>
      </c>
      <c r="C57" s="10" t="s">
        <v>219</v>
      </c>
      <c r="D57" s="10" t="s">
        <v>58</v>
      </c>
      <c r="E57" s="10" t="s">
        <v>60</v>
      </c>
      <c r="F57" s="27">
        <v>0.4</v>
      </c>
      <c r="G57" s="10" t="s">
        <v>152</v>
      </c>
      <c r="H57" s="12">
        <v>43623.759386574071</v>
      </c>
      <c r="I57" s="12"/>
      <c r="J57" s="10" t="s">
        <v>50</v>
      </c>
      <c r="K57" s="10" t="s">
        <v>55</v>
      </c>
      <c r="L57" s="10" t="s">
        <v>343</v>
      </c>
      <c r="M57" s="10" t="s">
        <v>344</v>
      </c>
      <c r="N57" s="12">
        <v>43625</v>
      </c>
      <c r="O57" s="13" t="s">
        <v>120</v>
      </c>
      <c r="P57" s="13" t="s">
        <v>119</v>
      </c>
      <c r="Q57" s="13" t="s">
        <v>119</v>
      </c>
      <c r="R57" s="13" t="s">
        <v>120</v>
      </c>
      <c r="S57" s="13" t="s">
        <v>120</v>
      </c>
    </row>
    <row r="58" spans="2:19" x14ac:dyDescent="0.25">
      <c r="B58" s="10">
        <v>3034</v>
      </c>
      <c r="C58" s="10" t="s">
        <v>220</v>
      </c>
      <c r="D58" s="10" t="s">
        <v>58</v>
      </c>
      <c r="E58" s="10" t="s">
        <v>60</v>
      </c>
      <c r="F58" s="27">
        <v>0.4</v>
      </c>
      <c r="G58" s="10" t="s">
        <v>153</v>
      </c>
      <c r="H58" s="12">
        <v>43621.439652777779</v>
      </c>
      <c r="I58" s="12"/>
      <c r="J58" s="10" t="s">
        <v>90</v>
      </c>
      <c r="K58" s="10" t="s">
        <v>55</v>
      </c>
      <c r="L58" s="10" t="s">
        <v>345</v>
      </c>
      <c r="M58" s="10" t="s">
        <v>346</v>
      </c>
      <c r="N58" s="12">
        <v>43623</v>
      </c>
      <c r="O58" s="13" t="s">
        <v>120</v>
      </c>
      <c r="P58" s="13" t="s">
        <v>119</v>
      </c>
      <c r="Q58" s="13" t="s">
        <v>119</v>
      </c>
      <c r="R58" s="13" t="s">
        <v>120</v>
      </c>
      <c r="S58" s="13" t="s">
        <v>119</v>
      </c>
    </row>
    <row r="59" spans="2:19" x14ac:dyDescent="0.25">
      <c r="B59" s="10">
        <v>2964</v>
      </c>
      <c r="C59" s="10" t="s">
        <v>221</v>
      </c>
      <c r="D59" s="10" t="s">
        <v>58</v>
      </c>
      <c r="E59" s="10" t="s">
        <v>60</v>
      </c>
      <c r="F59" s="27">
        <v>0.8</v>
      </c>
      <c r="G59" s="10" t="s">
        <v>154</v>
      </c>
      <c r="H59" s="12">
        <v>43605.740567129629</v>
      </c>
      <c r="I59" s="12"/>
      <c r="J59" s="10" t="s">
        <v>9</v>
      </c>
      <c r="K59" s="10" t="s">
        <v>55</v>
      </c>
      <c r="L59" s="10" t="s">
        <v>347</v>
      </c>
      <c r="M59" s="10" t="s">
        <v>348</v>
      </c>
      <c r="N59" s="12">
        <v>43605</v>
      </c>
      <c r="O59" s="13" t="s">
        <v>119</v>
      </c>
      <c r="P59" s="13" t="s">
        <v>119</v>
      </c>
      <c r="Q59" s="13" t="s">
        <v>119</v>
      </c>
      <c r="R59" s="13" t="s">
        <v>120</v>
      </c>
      <c r="S59" s="13" t="s">
        <v>119</v>
      </c>
    </row>
    <row r="60" spans="2:19" x14ac:dyDescent="0.25">
      <c r="B60" s="10">
        <v>2876</v>
      </c>
      <c r="C60" s="10" t="s">
        <v>222</v>
      </c>
      <c r="D60" s="10" t="s">
        <v>58</v>
      </c>
      <c r="E60" s="10" t="s">
        <v>60</v>
      </c>
      <c r="F60" s="27">
        <v>0.4</v>
      </c>
      <c r="G60" s="10" t="s">
        <v>155</v>
      </c>
      <c r="H60" s="12">
        <v>43590.872696759259</v>
      </c>
      <c r="I60" s="12"/>
      <c r="J60" s="10" t="s">
        <v>50</v>
      </c>
      <c r="K60" s="10" t="s">
        <v>55</v>
      </c>
      <c r="L60" s="10" t="s">
        <v>349</v>
      </c>
      <c r="M60" s="10" t="s">
        <v>350</v>
      </c>
      <c r="N60" s="12">
        <v>43590</v>
      </c>
      <c r="O60" s="13" t="s">
        <v>120</v>
      </c>
      <c r="P60" s="13" t="s">
        <v>119</v>
      </c>
      <c r="Q60" s="13" t="s">
        <v>119</v>
      </c>
      <c r="R60" s="13" t="s">
        <v>120</v>
      </c>
      <c r="S60" s="13" t="s">
        <v>119</v>
      </c>
    </row>
    <row r="61" spans="2:19" x14ac:dyDescent="0.25">
      <c r="B61" s="10">
        <v>2868</v>
      </c>
      <c r="C61" s="10" t="s">
        <v>223</v>
      </c>
      <c r="D61" s="10" t="s">
        <v>58</v>
      </c>
      <c r="E61" s="10" t="s">
        <v>60</v>
      </c>
      <c r="F61" s="27">
        <v>0.6</v>
      </c>
      <c r="G61" s="10" t="s">
        <v>156</v>
      </c>
      <c r="H61" s="12">
        <v>43587.68072916667</v>
      </c>
      <c r="I61" s="12"/>
      <c r="J61" s="10" t="s">
        <v>50</v>
      </c>
      <c r="K61" s="10" t="s">
        <v>54</v>
      </c>
      <c r="L61" s="10" t="s">
        <v>351</v>
      </c>
      <c r="M61" s="10" t="s">
        <v>352</v>
      </c>
      <c r="N61" s="12">
        <v>43587</v>
      </c>
      <c r="O61" s="13" t="s">
        <v>120</v>
      </c>
      <c r="P61" s="13" t="s">
        <v>119</v>
      </c>
      <c r="Q61" s="13" t="s">
        <v>119</v>
      </c>
      <c r="R61" s="13" t="s">
        <v>120</v>
      </c>
      <c r="S61" s="13" t="s">
        <v>119</v>
      </c>
    </row>
    <row r="62" spans="2:19" x14ac:dyDescent="0.25">
      <c r="B62" s="10">
        <v>2860</v>
      </c>
      <c r="C62" s="10" t="s">
        <v>224</v>
      </c>
      <c r="D62" s="10" t="s">
        <v>58</v>
      </c>
      <c r="E62" s="10" t="s">
        <v>60</v>
      </c>
      <c r="F62" s="27">
        <v>0.4</v>
      </c>
      <c r="G62" s="10" t="s">
        <v>157</v>
      </c>
      <c r="H62" s="12">
        <v>43587.444189814814</v>
      </c>
      <c r="I62" s="12"/>
      <c r="J62" s="10" t="s">
        <v>50</v>
      </c>
      <c r="K62" s="10" t="s">
        <v>55</v>
      </c>
      <c r="L62" s="10" t="s">
        <v>353</v>
      </c>
      <c r="M62" s="10" t="s">
        <v>354</v>
      </c>
      <c r="N62" s="12">
        <v>43587</v>
      </c>
      <c r="O62" s="13" t="s">
        <v>120</v>
      </c>
      <c r="P62" s="13" t="s">
        <v>119</v>
      </c>
      <c r="Q62" s="13" t="s">
        <v>120</v>
      </c>
      <c r="R62" s="13" t="s">
        <v>120</v>
      </c>
      <c r="S62" s="13" t="s">
        <v>119</v>
      </c>
    </row>
    <row r="63" spans="2:19" x14ac:dyDescent="0.25">
      <c r="B63" s="10">
        <v>2833</v>
      </c>
      <c r="C63" s="10" t="s">
        <v>225</v>
      </c>
      <c r="D63" s="10" t="s">
        <v>58</v>
      </c>
      <c r="E63" s="10" t="s">
        <v>60</v>
      </c>
      <c r="F63" s="27">
        <v>0.6</v>
      </c>
      <c r="G63" s="10" t="s">
        <v>152</v>
      </c>
      <c r="H63" s="12">
        <v>43578.459085648145</v>
      </c>
      <c r="I63" s="12"/>
      <c r="J63" s="10" t="s">
        <v>50</v>
      </c>
      <c r="K63" s="10" t="s">
        <v>55</v>
      </c>
      <c r="L63" s="10" t="s">
        <v>355</v>
      </c>
      <c r="M63" s="10" t="s">
        <v>356</v>
      </c>
      <c r="N63" s="12">
        <v>43578</v>
      </c>
      <c r="O63" s="13" t="s">
        <v>120</v>
      </c>
      <c r="P63" s="13" t="s">
        <v>119</v>
      </c>
      <c r="Q63" s="13" t="s">
        <v>120</v>
      </c>
      <c r="R63" s="13" t="s">
        <v>120</v>
      </c>
      <c r="S63" s="13" t="s">
        <v>119</v>
      </c>
    </row>
    <row r="64" spans="2:19" x14ac:dyDescent="0.25">
      <c r="B64" s="10">
        <v>2686</v>
      </c>
      <c r="C64" s="10" t="s">
        <v>226</v>
      </c>
      <c r="D64" s="10" t="s">
        <v>58</v>
      </c>
      <c r="E64" s="10" t="s">
        <v>60</v>
      </c>
      <c r="F64" s="27">
        <v>0.4</v>
      </c>
      <c r="G64" s="10" t="s">
        <v>153</v>
      </c>
      <c r="H64" s="12">
        <v>43553.726979166669</v>
      </c>
      <c r="I64" s="12"/>
      <c r="J64" s="10" t="s">
        <v>50</v>
      </c>
      <c r="K64" s="10" t="s">
        <v>54</v>
      </c>
      <c r="L64" s="10" t="s">
        <v>357</v>
      </c>
      <c r="M64" s="10" t="s">
        <v>358</v>
      </c>
      <c r="N64" s="12">
        <v>43553</v>
      </c>
      <c r="O64" s="13" t="s">
        <v>120</v>
      </c>
      <c r="P64" s="13" t="s">
        <v>120</v>
      </c>
      <c r="Q64" s="13" t="s">
        <v>120</v>
      </c>
      <c r="R64" s="13" t="s">
        <v>119</v>
      </c>
      <c r="S64" s="13" t="s">
        <v>120</v>
      </c>
    </row>
    <row r="65" spans="2:19" x14ac:dyDescent="0.25">
      <c r="B65" s="10">
        <v>2638</v>
      </c>
      <c r="C65" s="10" t="s">
        <v>227</v>
      </c>
      <c r="D65" s="10" t="s">
        <v>58</v>
      </c>
      <c r="E65" s="10" t="s">
        <v>60</v>
      </c>
      <c r="F65" s="27">
        <v>0.4</v>
      </c>
      <c r="G65" s="10" t="s">
        <v>154</v>
      </c>
      <c r="H65" s="12">
        <v>43539.872650462959</v>
      </c>
      <c r="I65" s="12"/>
      <c r="J65" s="10" t="s">
        <v>50</v>
      </c>
      <c r="K65" s="10" t="s">
        <v>108</v>
      </c>
      <c r="L65" s="10" t="s">
        <v>359</v>
      </c>
      <c r="M65" s="10" t="s">
        <v>360</v>
      </c>
      <c r="N65" s="12">
        <v>43539</v>
      </c>
      <c r="O65" s="13" t="s">
        <v>120</v>
      </c>
      <c r="P65" s="13" t="s">
        <v>120</v>
      </c>
      <c r="Q65" s="13" t="s">
        <v>119</v>
      </c>
      <c r="R65" s="13" t="s">
        <v>120</v>
      </c>
      <c r="S65" s="13" t="s">
        <v>119</v>
      </c>
    </row>
    <row r="66" spans="2:19" x14ac:dyDescent="0.25">
      <c r="B66" s="10">
        <v>2270</v>
      </c>
      <c r="C66" s="10" t="s">
        <v>228</v>
      </c>
      <c r="D66" s="10" t="s">
        <v>58</v>
      </c>
      <c r="E66" s="10" t="s">
        <v>60</v>
      </c>
      <c r="F66" s="27">
        <v>0.8</v>
      </c>
      <c r="G66" s="10" t="s">
        <v>155</v>
      </c>
      <c r="H66" s="12">
        <v>43424.735335648147</v>
      </c>
      <c r="I66" s="12"/>
      <c r="J66" s="10" t="s">
        <v>50</v>
      </c>
      <c r="K66" s="10" t="s">
        <v>55</v>
      </c>
      <c r="L66" s="10" t="s">
        <v>361</v>
      </c>
      <c r="M66" s="10" t="s">
        <v>362</v>
      </c>
      <c r="N66" s="12">
        <v>43588</v>
      </c>
      <c r="O66" s="13" t="s">
        <v>120</v>
      </c>
      <c r="P66" s="13" t="s">
        <v>119</v>
      </c>
      <c r="Q66" s="13" t="s">
        <v>120</v>
      </c>
      <c r="R66" s="13" t="s">
        <v>120</v>
      </c>
      <c r="S66" s="13" t="s">
        <v>119</v>
      </c>
    </row>
    <row r="67" spans="2:19" x14ac:dyDescent="0.25">
      <c r="B67" s="10">
        <v>1186</v>
      </c>
      <c r="C67" s="10" t="s">
        <v>229</v>
      </c>
      <c r="D67" s="10" t="s">
        <v>58</v>
      </c>
      <c r="E67" s="10" t="s">
        <v>62</v>
      </c>
      <c r="F67" s="27">
        <v>0.8</v>
      </c>
      <c r="G67" s="10" t="s">
        <v>156</v>
      </c>
      <c r="H67" s="12">
        <v>43150.70721064815</v>
      </c>
      <c r="I67" s="12"/>
      <c r="J67" s="10" t="s">
        <v>50</v>
      </c>
      <c r="K67" s="10" t="s">
        <v>53</v>
      </c>
      <c r="L67" s="10" t="s">
        <v>363</v>
      </c>
      <c r="M67" s="10" t="s">
        <v>364</v>
      </c>
      <c r="N67" s="12">
        <v>43731</v>
      </c>
      <c r="O67" s="13" t="s">
        <v>120</v>
      </c>
      <c r="P67" s="13" t="s">
        <v>119</v>
      </c>
      <c r="Q67" s="13" t="s">
        <v>119</v>
      </c>
      <c r="R67" s="13" t="s">
        <v>120</v>
      </c>
      <c r="S67" s="13" t="s">
        <v>119</v>
      </c>
    </row>
    <row r="68" spans="2:19" x14ac:dyDescent="0.25">
      <c r="I68"/>
      <c r="J68"/>
      <c r="K68"/>
      <c r="L68"/>
      <c r="M68"/>
      <c r="N68"/>
      <c r="O68"/>
      <c r="P68"/>
      <c r="Q68"/>
      <c r="R68"/>
      <c r="S68"/>
    </row>
    <row r="69" spans="2:19" x14ac:dyDescent="0.25">
      <c r="I69"/>
      <c r="J69"/>
      <c r="K69"/>
      <c r="L69"/>
      <c r="M69"/>
      <c r="N69"/>
      <c r="O69"/>
      <c r="P69"/>
      <c r="Q69"/>
      <c r="R69"/>
      <c r="S69"/>
    </row>
    <row r="70" spans="2:19" x14ac:dyDescent="0.25">
      <c r="I70"/>
      <c r="J70"/>
      <c r="K70"/>
      <c r="L70"/>
      <c r="M70"/>
      <c r="N70"/>
      <c r="O70"/>
      <c r="P70"/>
      <c r="Q70"/>
      <c r="R70"/>
      <c r="S70"/>
    </row>
    <row r="71" spans="2:19" x14ac:dyDescent="0.25">
      <c r="I71"/>
      <c r="J71"/>
      <c r="K71"/>
      <c r="L71"/>
      <c r="M71"/>
      <c r="N71"/>
      <c r="O71"/>
      <c r="P71"/>
      <c r="Q71"/>
      <c r="R71"/>
      <c r="S71"/>
    </row>
    <row r="72" spans="2:19" x14ac:dyDescent="0.25">
      <c r="I72"/>
      <c r="J72"/>
      <c r="K72"/>
      <c r="L72"/>
      <c r="M72"/>
      <c r="N72"/>
      <c r="O72"/>
      <c r="P72"/>
      <c r="Q72"/>
      <c r="R72"/>
      <c r="S72"/>
    </row>
    <row r="73" spans="2:19" x14ac:dyDescent="0.25">
      <c r="I73"/>
      <c r="J73"/>
      <c r="K73"/>
      <c r="L73"/>
      <c r="M73"/>
      <c r="N73"/>
      <c r="O73"/>
      <c r="P73"/>
      <c r="Q73"/>
      <c r="R73"/>
      <c r="S73"/>
    </row>
    <row r="74" spans="2:19" x14ac:dyDescent="0.25">
      <c r="I74"/>
      <c r="J74"/>
      <c r="K74"/>
      <c r="L74"/>
      <c r="M74"/>
      <c r="N74"/>
      <c r="O74"/>
      <c r="P74"/>
      <c r="Q74"/>
      <c r="R74"/>
      <c r="S74"/>
    </row>
    <row r="75" spans="2:19" x14ac:dyDescent="0.25">
      <c r="I75"/>
      <c r="J75"/>
      <c r="K75"/>
      <c r="L75"/>
      <c r="M75"/>
      <c r="N75"/>
      <c r="O75"/>
      <c r="P75"/>
      <c r="Q75"/>
      <c r="R75"/>
      <c r="S75"/>
    </row>
    <row r="76" spans="2:19" x14ac:dyDescent="0.25">
      <c r="I76"/>
      <c r="J76"/>
      <c r="K76"/>
      <c r="L76"/>
      <c r="M76"/>
      <c r="N76"/>
      <c r="O76"/>
      <c r="P76"/>
      <c r="Q76"/>
      <c r="R76"/>
      <c r="S76"/>
    </row>
    <row r="77" spans="2:19" x14ac:dyDescent="0.25">
      <c r="I77"/>
      <c r="J77"/>
      <c r="K77"/>
      <c r="L77"/>
      <c r="M77"/>
      <c r="N77"/>
      <c r="O77"/>
      <c r="P77"/>
      <c r="Q77"/>
      <c r="R77"/>
      <c r="S77"/>
    </row>
    <row r="78" spans="2:19" x14ac:dyDescent="0.25">
      <c r="I78"/>
      <c r="J78"/>
      <c r="K78"/>
      <c r="L78"/>
      <c r="M78"/>
      <c r="N78"/>
      <c r="O78"/>
      <c r="P78"/>
      <c r="Q78"/>
      <c r="R78"/>
      <c r="S78"/>
    </row>
    <row r="79" spans="2:19" x14ac:dyDescent="0.25">
      <c r="I79"/>
      <c r="J79"/>
      <c r="K79"/>
      <c r="L79"/>
      <c r="M79"/>
      <c r="N79"/>
      <c r="O79"/>
      <c r="P79"/>
      <c r="Q79"/>
      <c r="R79"/>
      <c r="S79"/>
    </row>
    <row r="80" spans="2:19" x14ac:dyDescent="0.25">
      <c r="I80"/>
      <c r="J80"/>
      <c r="K80"/>
      <c r="L80"/>
      <c r="M80"/>
      <c r="N80"/>
      <c r="O80"/>
      <c r="P80"/>
      <c r="Q80"/>
      <c r="R80"/>
      <c r="S80"/>
    </row>
    <row r="81" spans="9:19" x14ac:dyDescent="0.25">
      <c r="I81"/>
      <c r="J81"/>
      <c r="K81"/>
      <c r="L81"/>
      <c r="M81"/>
      <c r="N81"/>
      <c r="O81"/>
      <c r="P81"/>
      <c r="Q81"/>
      <c r="R81"/>
      <c r="S81"/>
    </row>
    <row r="82" spans="9:19" x14ac:dyDescent="0.25">
      <c r="I82"/>
      <c r="J82"/>
      <c r="K82"/>
      <c r="L82"/>
      <c r="M82"/>
      <c r="N82"/>
      <c r="O82"/>
      <c r="P82"/>
      <c r="Q82"/>
      <c r="R82"/>
      <c r="S82"/>
    </row>
    <row r="83" spans="9:19" x14ac:dyDescent="0.25">
      <c r="I83"/>
      <c r="J83"/>
      <c r="K83"/>
      <c r="L83"/>
      <c r="M83"/>
      <c r="N83"/>
      <c r="O83"/>
      <c r="P83"/>
      <c r="Q83"/>
      <c r="R83"/>
      <c r="S83"/>
    </row>
    <row r="84" spans="9:19" x14ac:dyDescent="0.25">
      <c r="I84"/>
      <c r="J84"/>
      <c r="K84"/>
      <c r="L84"/>
      <c r="M84"/>
      <c r="N84"/>
      <c r="O84"/>
      <c r="P84"/>
      <c r="Q84"/>
      <c r="R84"/>
      <c r="S84"/>
    </row>
    <row r="85" spans="9:19" x14ac:dyDescent="0.25">
      <c r="I85"/>
      <c r="J85"/>
      <c r="K85"/>
      <c r="L85"/>
      <c r="M85"/>
      <c r="N85"/>
      <c r="O85"/>
      <c r="P85"/>
      <c r="Q85"/>
      <c r="R85"/>
      <c r="S85"/>
    </row>
    <row r="86" spans="9:19" x14ac:dyDescent="0.25">
      <c r="I86"/>
      <c r="J86"/>
      <c r="K86"/>
      <c r="L86"/>
      <c r="M86"/>
      <c r="N86"/>
      <c r="O86"/>
      <c r="P86"/>
      <c r="Q86"/>
      <c r="R86"/>
      <c r="S86"/>
    </row>
    <row r="87" spans="9:19" x14ac:dyDescent="0.25">
      <c r="I87"/>
      <c r="J87"/>
      <c r="K87"/>
      <c r="L87"/>
      <c r="M87"/>
      <c r="N87"/>
      <c r="O87"/>
      <c r="P87"/>
      <c r="Q87"/>
      <c r="R87"/>
      <c r="S87"/>
    </row>
    <row r="88" spans="9:19" x14ac:dyDescent="0.25">
      <c r="I88"/>
      <c r="J88"/>
      <c r="K88"/>
      <c r="L88"/>
      <c r="M88"/>
      <c r="N88"/>
      <c r="O88"/>
      <c r="P88"/>
      <c r="Q88"/>
      <c r="R88"/>
      <c r="S88"/>
    </row>
    <row r="89" spans="9:19" x14ac:dyDescent="0.25">
      <c r="I89"/>
      <c r="J89"/>
      <c r="K89"/>
      <c r="L89"/>
      <c r="M89"/>
      <c r="N89"/>
      <c r="O89"/>
      <c r="P89"/>
      <c r="Q89"/>
      <c r="R89"/>
      <c r="S89"/>
    </row>
    <row r="90" spans="9:19" x14ac:dyDescent="0.25">
      <c r="I90"/>
      <c r="J90"/>
      <c r="K90"/>
      <c r="L90"/>
      <c r="M90"/>
      <c r="N90"/>
      <c r="O90"/>
      <c r="P90"/>
      <c r="Q90"/>
      <c r="R90"/>
      <c r="S90"/>
    </row>
    <row r="91" spans="9:19" x14ac:dyDescent="0.25">
      <c r="I91"/>
      <c r="J91"/>
      <c r="K91"/>
      <c r="L91"/>
      <c r="M91"/>
      <c r="N91"/>
      <c r="O91"/>
      <c r="P91"/>
      <c r="Q91"/>
      <c r="R91"/>
      <c r="S91"/>
    </row>
    <row r="92" spans="9:19" x14ac:dyDescent="0.25">
      <c r="I92"/>
      <c r="J92"/>
      <c r="K92"/>
      <c r="L92"/>
      <c r="M92"/>
      <c r="N92"/>
      <c r="O92"/>
      <c r="P92"/>
      <c r="Q92"/>
      <c r="R92"/>
      <c r="S92"/>
    </row>
    <row r="93" spans="9:19" x14ac:dyDescent="0.25">
      <c r="I93"/>
      <c r="J93"/>
      <c r="K93"/>
      <c r="L93"/>
      <c r="M93"/>
      <c r="N93"/>
      <c r="O93"/>
      <c r="P93"/>
      <c r="Q93"/>
      <c r="R93"/>
      <c r="S93"/>
    </row>
    <row r="94" spans="9:19" x14ac:dyDescent="0.25">
      <c r="I94"/>
      <c r="J94"/>
      <c r="K94"/>
      <c r="L94"/>
      <c r="M94"/>
      <c r="N94"/>
      <c r="O94"/>
      <c r="P94"/>
      <c r="Q94"/>
      <c r="R94"/>
      <c r="S94"/>
    </row>
    <row r="95" spans="9:19" x14ac:dyDescent="0.25">
      <c r="I95"/>
      <c r="J95"/>
      <c r="K95"/>
      <c r="L95"/>
      <c r="M95"/>
      <c r="N95"/>
      <c r="O95"/>
      <c r="P95"/>
      <c r="Q95"/>
      <c r="R95"/>
      <c r="S95"/>
    </row>
    <row r="96" spans="9:19" x14ac:dyDescent="0.25">
      <c r="I96"/>
      <c r="J96"/>
      <c r="K96"/>
      <c r="L96"/>
      <c r="M96"/>
      <c r="N96"/>
      <c r="O96"/>
      <c r="P96"/>
      <c r="Q96"/>
      <c r="R96"/>
      <c r="S96"/>
    </row>
    <row r="97" spans="9:19" x14ac:dyDescent="0.25">
      <c r="I97"/>
      <c r="J97"/>
      <c r="K97"/>
      <c r="L97"/>
      <c r="M97"/>
      <c r="N97"/>
      <c r="O97"/>
      <c r="P97"/>
      <c r="Q97"/>
      <c r="R97"/>
      <c r="S97"/>
    </row>
    <row r="98" spans="9:19" x14ac:dyDescent="0.25">
      <c r="I98"/>
      <c r="J98"/>
      <c r="K98"/>
      <c r="L98"/>
      <c r="M98"/>
      <c r="N98"/>
      <c r="O98"/>
      <c r="P98"/>
      <c r="Q98"/>
      <c r="R98"/>
      <c r="S98"/>
    </row>
    <row r="99" spans="9:19" x14ac:dyDescent="0.25">
      <c r="I99"/>
      <c r="J99"/>
      <c r="K99"/>
      <c r="L99"/>
      <c r="M99"/>
      <c r="N99"/>
      <c r="O99"/>
      <c r="P99"/>
      <c r="Q99"/>
      <c r="R99"/>
      <c r="S99"/>
    </row>
    <row r="100" spans="9:19" x14ac:dyDescent="0.25">
      <c r="I100"/>
      <c r="J100"/>
      <c r="K100"/>
      <c r="L100"/>
      <c r="M100"/>
      <c r="N100"/>
      <c r="O100"/>
      <c r="P100"/>
      <c r="Q100"/>
      <c r="R100"/>
      <c r="S100"/>
    </row>
    <row r="101" spans="9:19" x14ac:dyDescent="0.25">
      <c r="I101"/>
      <c r="J101"/>
      <c r="K101"/>
      <c r="L101"/>
      <c r="M101"/>
      <c r="N101"/>
      <c r="O101"/>
      <c r="P101"/>
      <c r="Q101"/>
      <c r="R101"/>
      <c r="S101"/>
    </row>
    <row r="102" spans="9:19" x14ac:dyDescent="0.25">
      <c r="I102"/>
      <c r="J102"/>
      <c r="K102"/>
      <c r="L102"/>
      <c r="M102"/>
      <c r="N102"/>
      <c r="O102"/>
      <c r="P102"/>
      <c r="Q102"/>
      <c r="R102"/>
      <c r="S102"/>
    </row>
    <row r="103" spans="9:19" x14ac:dyDescent="0.25">
      <c r="I103"/>
      <c r="J103"/>
      <c r="K103"/>
      <c r="L103"/>
      <c r="M103"/>
      <c r="N103"/>
      <c r="O103"/>
      <c r="P103"/>
      <c r="Q103"/>
      <c r="R103"/>
      <c r="S103"/>
    </row>
    <row r="104" spans="9:19" x14ac:dyDescent="0.25">
      <c r="I104"/>
      <c r="J104"/>
      <c r="K104"/>
      <c r="L104"/>
      <c r="M104"/>
      <c r="N104"/>
      <c r="O104"/>
      <c r="P104"/>
      <c r="Q104"/>
      <c r="R104"/>
      <c r="S104"/>
    </row>
    <row r="105" spans="9:19" x14ac:dyDescent="0.25">
      <c r="I105"/>
      <c r="J105"/>
      <c r="K105"/>
      <c r="L105"/>
      <c r="M105"/>
      <c r="N105"/>
      <c r="O105"/>
      <c r="P105"/>
      <c r="Q105"/>
      <c r="R105"/>
      <c r="S105"/>
    </row>
    <row r="106" spans="9:19" x14ac:dyDescent="0.25">
      <c r="I106"/>
      <c r="J106"/>
      <c r="K106"/>
      <c r="L106"/>
      <c r="M106"/>
      <c r="N106"/>
      <c r="O106"/>
      <c r="P106"/>
      <c r="Q106"/>
      <c r="R106"/>
      <c r="S106"/>
    </row>
    <row r="107" spans="9:19" x14ac:dyDescent="0.25">
      <c r="I107"/>
      <c r="J107"/>
      <c r="K107"/>
      <c r="L107"/>
      <c r="M107"/>
      <c r="N107"/>
      <c r="O107"/>
      <c r="P107"/>
      <c r="Q107"/>
      <c r="R107"/>
      <c r="S107"/>
    </row>
    <row r="108" spans="9:19" x14ac:dyDescent="0.25">
      <c r="I108"/>
      <c r="J108"/>
      <c r="K108"/>
      <c r="L108"/>
      <c r="M108"/>
      <c r="N108"/>
      <c r="O108"/>
      <c r="P108"/>
      <c r="Q108"/>
      <c r="R108"/>
      <c r="S108"/>
    </row>
    <row r="109" spans="9:19" x14ac:dyDescent="0.25">
      <c r="I109"/>
      <c r="J109"/>
      <c r="K109"/>
      <c r="L109"/>
      <c r="M109"/>
      <c r="N109"/>
      <c r="O109"/>
      <c r="P109"/>
      <c r="Q109"/>
      <c r="R109"/>
      <c r="S109"/>
    </row>
    <row r="110" spans="9:19" x14ac:dyDescent="0.25">
      <c r="I110"/>
      <c r="J110"/>
      <c r="K110"/>
      <c r="L110"/>
      <c r="M110"/>
      <c r="N110"/>
      <c r="O110"/>
      <c r="P110"/>
      <c r="Q110"/>
      <c r="R110"/>
      <c r="S110"/>
    </row>
    <row r="111" spans="9:19" x14ac:dyDescent="0.25">
      <c r="I111"/>
      <c r="J111"/>
      <c r="K111"/>
      <c r="L111"/>
      <c r="M111"/>
      <c r="N111"/>
      <c r="O111"/>
      <c r="P111"/>
      <c r="Q111"/>
      <c r="R111"/>
      <c r="S111"/>
    </row>
    <row r="112" spans="9:19" x14ac:dyDescent="0.25">
      <c r="I112"/>
      <c r="J112"/>
      <c r="K112"/>
      <c r="L112"/>
      <c r="M112"/>
      <c r="N112"/>
      <c r="O112"/>
      <c r="P112"/>
      <c r="Q112"/>
      <c r="R112"/>
      <c r="S112"/>
    </row>
    <row r="113" spans="8:19" x14ac:dyDescent="0.25">
      <c r="I113"/>
      <c r="J113"/>
      <c r="K113"/>
      <c r="L113"/>
      <c r="M113"/>
      <c r="N113"/>
      <c r="O113"/>
      <c r="P113"/>
      <c r="Q113"/>
      <c r="R113"/>
      <c r="S113"/>
    </row>
    <row r="114" spans="8:19" x14ac:dyDescent="0.25">
      <c r="I114"/>
      <c r="J114"/>
      <c r="K114"/>
      <c r="L114"/>
      <c r="M114"/>
      <c r="N114"/>
      <c r="O114"/>
      <c r="P114"/>
      <c r="Q114"/>
      <c r="R114"/>
      <c r="S114"/>
    </row>
    <row r="115" spans="8:19" x14ac:dyDescent="0.25">
      <c r="I115"/>
      <c r="J115"/>
      <c r="K115"/>
      <c r="L115"/>
      <c r="M115"/>
      <c r="N115"/>
      <c r="O115"/>
      <c r="P115"/>
      <c r="Q115"/>
      <c r="R115"/>
      <c r="S115"/>
    </row>
    <row r="116" spans="8:19" x14ac:dyDescent="0.25">
      <c r="I116"/>
      <c r="J116"/>
      <c r="K116"/>
      <c r="L116"/>
      <c r="M116"/>
      <c r="N116"/>
      <c r="O116"/>
      <c r="P116"/>
      <c r="Q116"/>
      <c r="R116"/>
      <c r="S116"/>
    </row>
    <row r="117" spans="8:19" x14ac:dyDescent="0.25">
      <c r="H117" s="32"/>
    </row>
    <row r="118" spans="8:19" x14ac:dyDescent="0.25">
      <c r="H118" s="32"/>
    </row>
    <row r="119" spans="8:19" x14ac:dyDescent="0.25">
      <c r="H119" s="32"/>
    </row>
    <row r="120" spans="8:19" x14ac:dyDescent="0.25">
      <c r="H120" s="32"/>
    </row>
    <row r="121" spans="8:19" x14ac:dyDescent="0.25">
      <c r="H121" s="32"/>
    </row>
    <row r="122" spans="8:19" x14ac:dyDescent="0.25">
      <c r="H122" s="32"/>
    </row>
    <row r="123" spans="8:19" x14ac:dyDescent="0.25">
      <c r="H123" s="32"/>
    </row>
    <row r="124" spans="8:19" x14ac:dyDescent="0.25">
      <c r="H124" s="32"/>
    </row>
    <row r="125" spans="8:19" x14ac:dyDescent="0.25">
      <c r="H125" s="32"/>
    </row>
    <row r="126" spans="8:19" x14ac:dyDescent="0.25">
      <c r="H126" s="32"/>
    </row>
    <row r="127" spans="8:19" x14ac:dyDescent="0.25">
      <c r="H127" s="32"/>
    </row>
    <row r="128" spans="8:19" x14ac:dyDescent="0.25">
      <c r="H128" s="32"/>
    </row>
    <row r="129" spans="8:8" x14ac:dyDescent="0.25">
      <c r="H129" s="32"/>
    </row>
    <row r="130" spans="8:8" x14ac:dyDescent="0.25">
      <c r="H130" s="32"/>
    </row>
    <row r="131" spans="8:8" x14ac:dyDescent="0.25">
      <c r="H131" s="32"/>
    </row>
    <row r="132" spans="8:8" x14ac:dyDescent="0.25">
      <c r="H132" s="32"/>
    </row>
    <row r="133" spans="8:8" x14ac:dyDescent="0.25">
      <c r="H133" s="32"/>
    </row>
    <row r="134" spans="8:8" x14ac:dyDescent="0.25">
      <c r="H134" s="32"/>
    </row>
    <row r="135" spans="8:8" x14ac:dyDescent="0.25">
      <c r="H135" s="32"/>
    </row>
    <row r="136" spans="8:8" x14ac:dyDescent="0.25">
      <c r="H136" s="32"/>
    </row>
    <row r="137" spans="8:8" x14ac:dyDescent="0.25">
      <c r="H137" s="32"/>
    </row>
    <row r="138" spans="8:8" x14ac:dyDescent="0.25">
      <c r="H138" s="32"/>
    </row>
    <row r="139" spans="8:8" x14ac:dyDescent="0.25">
      <c r="H139" s="32"/>
    </row>
    <row r="140" spans="8:8" x14ac:dyDescent="0.25">
      <c r="H140" s="32"/>
    </row>
    <row r="141" spans="8:8" x14ac:dyDescent="0.25">
      <c r="H141" s="32"/>
    </row>
    <row r="142" spans="8:8" x14ac:dyDescent="0.25">
      <c r="H142" s="32"/>
    </row>
    <row r="143" spans="8:8" x14ac:dyDescent="0.25">
      <c r="H143" s="32"/>
    </row>
    <row r="144" spans="8:8" x14ac:dyDescent="0.25">
      <c r="H144" s="32"/>
    </row>
    <row r="145" spans="8:8" x14ac:dyDescent="0.25">
      <c r="H145" s="32"/>
    </row>
    <row r="146" spans="8:8" x14ac:dyDescent="0.25">
      <c r="H146" s="32"/>
    </row>
    <row r="147" spans="8:8" x14ac:dyDescent="0.25">
      <c r="H147" s="32"/>
    </row>
    <row r="148" spans="8:8" x14ac:dyDescent="0.25">
      <c r="H148" s="32"/>
    </row>
    <row r="149" spans="8:8" x14ac:dyDescent="0.25">
      <c r="H149" s="32"/>
    </row>
    <row r="150" spans="8:8" x14ac:dyDescent="0.25">
      <c r="H150" s="32"/>
    </row>
    <row r="151" spans="8:8" x14ac:dyDescent="0.25">
      <c r="H151" s="32"/>
    </row>
    <row r="152" spans="8:8" x14ac:dyDescent="0.25">
      <c r="H152" s="32"/>
    </row>
    <row r="153" spans="8:8" x14ac:dyDescent="0.25">
      <c r="H153" s="32"/>
    </row>
    <row r="154" spans="8:8" x14ac:dyDescent="0.25">
      <c r="H154" s="32"/>
    </row>
    <row r="155" spans="8:8" x14ac:dyDescent="0.25">
      <c r="H155" s="32"/>
    </row>
    <row r="156" spans="8:8" x14ac:dyDescent="0.25">
      <c r="H156" s="32"/>
    </row>
    <row r="157" spans="8:8" x14ac:dyDescent="0.25">
      <c r="H157" s="32"/>
    </row>
    <row r="158" spans="8:8" x14ac:dyDescent="0.25">
      <c r="H158" s="32"/>
    </row>
    <row r="159" spans="8:8" x14ac:dyDescent="0.25">
      <c r="H159" s="32"/>
    </row>
    <row r="160" spans="8:8" x14ac:dyDescent="0.25">
      <c r="H160" s="32"/>
    </row>
    <row r="161" spans="8:8" x14ac:dyDescent="0.25">
      <c r="H161" s="32"/>
    </row>
    <row r="162" spans="8:8" x14ac:dyDescent="0.25">
      <c r="H162" s="32"/>
    </row>
    <row r="163" spans="8:8" x14ac:dyDescent="0.25">
      <c r="H163" s="32"/>
    </row>
    <row r="164" spans="8:8" x14ac:dyDescent="0.25">
      <c r="H164" s="32"/>
    </row>
    <row r="165" spans="8:8" x14ac:dyDescent="0.25">
      <c r="H165" s="32"/>
    </row>
    <row r="166" spans="8:8" x14ac:dyDescent="0.25">
      <c r="H166" s="32"/>
    </row>
    <row r="167" spans="8:8" x14ac:dyDescent="0.25">
      <c r="H167" s="32"/>
    </row>
    <row r="168" spans="8:8" x14ac:dyDescent="0.25">
      <c r="H168" s="32"/>
    </row>
    <row r="169" spans="8:8" x14ac:dyDescent="0.25">
      <c r="H169" s="32"/>
    </row>
    <row r="170" spans="8:8" x14ac:dyDescent="0.25">
      <c r="H170" s="32"/>
    </row>
    <row r="171" spans="8:8" x14ac:dyDescent="0.25">
      <c r="H171" s="32"/>
    </row>
    <row r="172" spans="8:8" x14ac:dyDescent="0.25">
      <c r="H172" s="32"/>
    </row>
    <row r="173" spans="8:8" x14ac:dyDescent="0.25">
      <c r="H173" s="32"/>
    </row>
    <row r="174" spans="8:8" x14ac:dyDescent="0.25">
      <c r="H174" s="32"/>
    </row>
    <row r="175" spans="8:8" x14ac:dyDescent="0.25">
      <c r="H175" s="32"/>
    </row>
    <row r="176" spans="8:8" x14ac:dyDescent="0.25">
      <c r="H176" s="32"/>
    </row>
    <row r="177" spans="8:8" x14ac:dyDescent="0.25">
      <c r="H177" s="32"/>
    </row>
    <row r="178" spans="8:8" x14ac:dyDescent="0.25">
      <c r="H178" s="32"/>
    </row>
    <row r="179" spans="8:8" x14ac:dyDescent="0.25">
      <c r="H179" s="32"/>
    </row>
    <row r="180" spans="8:8" x14ac:dyDescent="0.25">
      <c r="H180" s="32"/>
    </row>
    <row r="181" spans="8:8" x14ac:dyDescent="0.25">
      <c r="H181" s="32"/>
    </row>
    <row r="182" spans="8:8" x14ac:dyDescent="0.25">
      <c r="H182" s="32"/>
    </row>
    <row r="183" spans="8:8" x14ac:dyDescent="0.25">
      <c r="H183" s="32"/>
    </row>
    <row r="184" spans="8:8" x14ac:dyDescent="0.25">
      <c r="H184" s="32"/>
    </row>
    <row r="185" spans="8:8" x14ac:dyDescent="0.25">
      <c r="H185" s="32"/>
    </row>
    <row r="186" spans="8:8" x14ac:dyDescent="0.25">
      <c r="H186" s="32"/>
    </row>
    <row r="187" spans="8:8" x14ac:dyDescent="0.25">
      <c r="H187" s="32"/>
    </row>
    <row r="188" spans="8:8" x14ac:dyDescent="0.25">
      <c r="H188" s="32"/>
    </row>
    <row r="189" spans="8:8" x14ac:dyDescent="0.25">
      <c r="H189" s="32"/>
    </row>
    <row r="190" spans="8:8" x14ac:dyDescent="0.25">
      <c r="H190" s="32"/>
    </row>
    <row r="191" spans="8:8" x14ac:dyDescent="0.25">
      <c r="H191" s="32"/>
    </row>
    <row r="192" spans="8:8" x14ac:dyDescent="0.25">
      <c r="H192" s="32"/>
    </row>
    <row r="193" spans="8:8" x14ac:dyDescent="0.25">
      <c r="H193" s="32"/>
    </row>
    <row r="194" spans="8:8" x14ac:dyDescent="0.25">
      <c r="H194" s="32"/>
    </row>
    <row r="195" spans="8:8" x14ac:dyDescent="0.25">
      <c r="H195" s="32"/>
    </row>
    <row r="196" spans="8:8" x14ac:dyDescent="0.25">
      <c r="H196" s="32"/>
    </row>
    <row r="197" spans="8:8" x14ac:dyDescent="0.25">
      <c r="H197" s="32"/>
    </row>
    <row r="198" spans="8:8" x14ac:dyDescent="0.25">
      <c r="H198" s="32"/>
    </row>
    <row r="199" spans="8:8" x14ac:dyDescent="0.25">
      <c r="H199" s="32"/>
    </row>
    <row r="200" spans="8:8" x14ac:dyDescent="0.25">
      <c r="H200" s="32"/>
    </row>
    <row r="201" spans="8:8" x14ac:dyDescent="0.25">
      <c r="H201" s="32"/>
    </row>
    <row r="202" spans="8:8" x14ac:dyDescent="0.25">
      <c r="H202" s="32"/>
    </row>
    <row r="203" spans="8:8" x14ac:dyDescent="0.25">
      <c r="H203" s="32"/>
    </row>
    <row r="204" spans="8:8" x14ac:dyDescent="0.25">
      <c r="H204" s="32"/>
    </row>
    <row r="205" spans="8:8" x14ac:dyDescent="0.25">
      <c r="H205" s="32"/>
    </row>
    <row r="206" spans="8:8" x14ac:dyDescent="0.25">
      <c r="H206" s="32"/>
    </row>
    <row r="207" spans="8:8" x14ac:dyDescent="0.25">
      <c r="H207" s="32"/>
    </row>
    <row r="208" spans="8:8" x14ac:dyDescent="0.25">
      <c r="H208" s="32"/>
    </row>
    <row r="209" spans="8:8" x14ac:dyDescent="0.25">
      <c r="H209" s="32"/>
    </row>
    <row r="210" spans="8:8" x14ac:dyDescent="0.25">
      <c r="H210" s="32"/>
    </row>
    <row r="211" spans="8:8" x14ac:dyDescent="0.25">
      <c r="H211" s="32"/>
    </row>
    <row r="212" spans="8:8" x14ac:dyDescent="0.25">
      <c r="H212" s="32"/>
    </row>
    <row r="213" spans="8:8" x14ac:dyDescent="0.25">
      <c r="H213" s="32"/>
    </row>
    <row r="214" spans="8:8" x14ac:dyDescent="0.25">
      <c r="H214" s="32"/>
    </row>
    <row r="215" spans="8:8" x14ac:dyDescent="0.25">
      <c r="H215" s="32"/>
    </row>
    <row r="216" spans="8:8" x14ac:dyDescent="0.25">
      <c r="H216" s="32"/>
    </row>
    <row r="217" spans="8:8" x14ac:dyDescent="0.25">
      <c r="H217" s="32"/>
    </row>
    <row r="218" spans="8:8" x14ac:dyDescent="0.25">
      <c r="H218" s="32"/>
    </row>
    <row r="219" spans="8:8" x14ac:dyDescent="0.25">
      <c r="H219" s="32"/>
    </row>
    <row r="220" spans="8:8" x14ac:dyDescent="0.25">
      <c r="H220" s="32"/>
    </row>
    <row r="221" spans="8:8" x14ac:dyDescent="0.25">
      <c r="H221" s="32"/>
    </row>
    <row r="222" spans="8:8" x14ac:dyDescent="0.25">
      <c r="H222" s="32"/>
    </row>
    <row r="223" spans="8:8" x14ac:dyDescent="0.25">
      <c r="H223" s="32"/>
    </row>
    <row r="224" spans="8:8" x14ac:dyDescent="0.25">
      <c r="H224" s="32"/>
    </row>
    <row r="225" spans="8:8" x14ac:dyDescent="0.25">
      <c r="H225" s="32"/>
    </row>
    <row r="226" spans="8:8" x14ac:dyDescent="0.25">
      <c r="H226" s="32"/>
    </row>
    <row r="227" spans="8:8" x14ac:dyDescent="0.25">
      <c r="H227" s="32"/>
    </row>
    <row r="228" spans="8:8" x14ac:dyDescent="0.25">
      <c r="H228" s="32"/>
    </row>
    <row r="229" spans="8:8" x14ac:dyDescent="0.25">
      <c r="H229" s="32"/>
    </row>
    <row r="230" spans="8:8" x14ac:dyDescent="0.25">
      <c r="H230" s="32"/>
    </row>
    <row r="231" spans="8:8" x14ac:dyDescent="0.25">
      <c r="H231" s="32"/>
    </row>
    <row r="232" spans="8:8" x14ac:dyDescent="0.25">
      <c r="H232" s="32"/>
    </row>
  </sheetData>
  <autoFilter ref="B8:S8" xr:uid="{00000000-0009-0000-0000-00000C000000}"/>
  <mergeCells count="1">
    <mergeCell ref="B2:S2"/>
  </mergeCells>
  <phoneticPr fontId="27" type="noConversion"/>
  <pageMargins left="0.78740157499999996" right="0.78740157499999996" top="0.984251969" bottom="0.984251969" header="0.4921259845" footer="0.4921259845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BDC71A"/>
  </sheetPr>
  <dimension ref="A1:L6"/>
  <sheetViews>
    <sheetView showGridLines="0" zoomScaleNormal="100" workbookViewId="0">
      <selection activeCell="M5" sqref="M5"/>
    </sheetView>
  </sheetViews>
  <sheetFormatPr defaultRowHeight="15" x14ac:dyDescent="0.25"/>
  <cols>
    <col min="1" max="1" width="10.42578125" bestFit="1" customWidth="1"/>
    <col min="2" max="2" width="29.140625" bestFit="1" customWidth="1"/>
    <col min="3" max="3" width="27" bestFit="1" customWidth="1"/>
    <col min="4" max="4" width="29.28515625" bestFit="1" customWidth="1"/>
  </cols>
  <sheetData>
    <row r="1" spans="1:12" x14ac:dyDescent="0.25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</row>
    <row r="2" spans="1:12" x14ac:dyDescent="0.25">
      <c r="A2" t="str">
        <f ca="1">"Semana "&amp;WEEKNUM(TODAY())-3</f>
        <v>Semana 25</v>
      </c>
      <c r="B2">
        <v>14</v>
      </c>
      <c r="C2">
        <v>21</v>
      </c>
      <c r="D2">
        <v>0</v>
      </c>
      <c r="E2">
        <v>0</v>
      </c>
      <c r="F2">
        <v>0</v>
      </c>
      <c r="G2">
        <v>15</v>
      </c>
      <c r="H2">
        <v>15</v>
      </c>
      <c r="I2">
        <v>1</v>
      </c>
      <c r="J2">
        <v>6</v>
      </c>
      <c r="K2">
        <v>22</v>
      </c>
      <c r="L2">
        <v>45</v>
      </c>
    </row>
    <row r="3" spans="1:12" x14ac:dyDescent="0.25">
      <c r="A3" t="str">
        <f ca="1">"Semana "&amp;WEEKNUM(TODAY())-2</f>
        <v>Semana 26</v>
      </c>
      <c r="B3">
        <v>54</v>
      </c>
      <c r="C3">
        <v>25</v>
      </c>
      <c r="D3">
        <v>4</v>
      </c>
      <c r="E3">
        <v>2</v>
      </c>
      <c r="F3">
        <v>2</v>
      </c>
      <c r="G3">
        <v>30</v>
      </c>
      <c r="H3">
        <v>18</v>
      </c>
      <c r="I3">
        <v>5</v>
      </c>
      <c r="J3">
        <v>2</v>
      </c>
      <c r="K3">
        <v>21</v>
      </c>
      <c r="L3">
        <v>69</v>
      </c>
    </row>
    <row r="4" spans="1:12" x14ac:dyDescent="0.25">
      <c r="A4" t="str">
        <f ca="1">"Semana "&amp;WEEKNUM(TODAY())-1</f>
        <v>Semana 27</v>
      </c>
      <c r="B4">
        <v>36</v>
      </c>
      <c r="C4">
        <v>17</v>
      </c>
      <c r="D4">
        <v>3</v>
      </c>
      <c r="E4">
        <v>0</v>
      </c>
      <c r="F4">
        <v>1</v>
      </c>
      <c r="G4">
        <v>28</v>
      </c>
      <c r="H4">
        <v>30</v>
      </c>
      <c r="I4">
        <v>4</v>
      </c>
      <c r="J4">
        <v>8</v>
      </c>
      <c r="K4">
        <v>19</v>
      </c>
      <c r="L4">
        <v>43</v>
      </c>
    </row>
    <row r="5" spans="1:12" x14ac:dyDescent="0.25">
      <c r="A5" t="str">
        <f ca="1">"Semana "&amp;WEEKNUM(TODAY())</f>
        <v>Semana 28</v>
      </c>
      <c r="B5">
        <v>23</v>
      </c>
      <c r="C5">
        <v>25</v>
      </c>
      <c r="D5">
        <v>2</v>
      </c>
      <c r="E5">
        <v>0</v>
      </c>
      <c r="F5">
        <v>2</v>
      </c>
      <c r="G5">
        <v>24</v>
      </c>
      <c r="H5">
        <v>21</v>
      </c>
      <c r="I5">
        <v>3</v>
      </c>
      <c r="J5">
        <v>12</v>
      </c>
      <c r="K5">
        <v>12</v>
      </c>
      <c r="L5">
        <v>31</v>
      </c>
    </row>
    <row r="6" spans="1:12" x14ac:dyDescent="0.25">
      <c r="C6" s="32"/>
    </row>
  </sheetData>
  <phoneticPr fontId="2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Leads em recebimento +03 dias</vt:lpstr>
      <vt:lpstr>Leads Atrasados {Atividades}</vt:lpstr>
      <vt:lpstr>Leads Parados {Sem atividades}</vt:lpstr>
      <vt:lpstr>Leads Sem Fonte</vt:lpstr>
      <vt:lpstr>Leads Sem Segmento</vt:lpstr>
      <vt:lpstr>Leads Sem Email</vt:lpstr>
      <vt:lpstr>Negócios Sem Portifólio</vt:lpstr>
      <vt:lpstr>Negócios Parados -Sem atividade</vt:lpstr>
      <vt:lpstr>Negócios Atrasados {Atividades}</vt:lpstr>
      <vt:lpstr>Negócios Sem Empresa</vt:lpstr>
      <vt:lpstr>Negócios Sem Fontes</vt:lpstr>
      <vt:lpstr>Negócios Sem contato</vt:lpstr>
      <vt:lpstr>Probabilidade e Fechamento</vt:lpstr>
      <vt:lpstr>Gráficos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Amatte Bizao Temponi</dc:creator>
  <cp:lastModifiedBy>Sabrina Amaral</cp:lastModifiedBy>
  <dcterms:created xsi:type="dcterms:W3CDTF">2018-06-19T12:24:59Z</dcterms:created>
  <dcterms:modified xsi:type="dcterms:W3CDTF">2020-07-06T13:23:25Z</dcterms:modified>
</cp:coreProperties>
</file>