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bri\Desktop\"/>
    </mc:Choice>
  </mc:AlternateContent>
  <xr:revisionPtr revIDLastSave="0" documentId="8_{E7AD6BAE-546C-4878-9D07-3A618A6CBDC9}" xr6:coauthVersionLast="47" xr6:coauthVersionMax="47" xr10:uidLastSave="{00000000-0000-0000-0000-000000000000}"/>
  <bookViews>
    <workbookView xWindow="-120" yWindow="-120" windowWidth="20730" windowHeight="11040" tabRatio="673" xr2:uid="{3A897398-FF1F-40FC-A7D9-176A20951082}"/>
  </bookViews>
  <sheets>
    <sheet name="Apoio" sheetId="1" r:id="rId1"/>
    <sheet name="Enviar E-mail para EXEC" sheetId="2" r:id="rId2"/>
    <sheet name="Enviar Email para GR" sheetId="5" r:id="rId3"/>
    <sheet name="GR" sheetId="6" r:id="rId4"/>
    <sheet name="Tabela" sheetId="7" r:id="rId5"/>
  </sheets>
  <definedNames>
    <definedName name="_xlnm._FilterDatabase" localSheetId="1" hidden="1">'Enviar E-mail para EXEC'!$A$1:$W$51</definedName>
    <definedName name="DadosExternos_1" localSheetId="2" hidden="1">'Enviar Email para GR'!$A$1:$F$51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J43" i="2"/>
  <c r="J33" i="2"/>
  <c r="J15" i="2"/>
  <c r="J44" i="2"/>
  <c r="J16" i="2"/>
  <c r="J17" i="2"/>
  <c r="J18" i="2"/>
  <c r="J2" i="2"/>
  <c r="J34" i="2"/>
  <c r="J35" i="2"/>
  <c r="J45" i="2"/>
  <c r="J36" i="2"/>
  <c r="J19" i="2"/>
  <c r="J20" i="2"/>
  <c r="J46" i="2"/>
  <c r="J3" i="2"/>
  <c r="J21" i="2"/>
  <c r="J4" i="2"/>
  <c r="J22" i="2"/>
  <c r="J47" i="2"/>
  <c r="J48" i="2"/>
  <c r="J49" i="2"/>
  <c r="J5" i="2"/>
  <c r="J6" i="2"/>
  <c r="J7" i="2"/>
  <c r="J37" i="2"/>
  <c r="J23" i="2"/>
  <c r="J8" i="2"/>
  <c r="J24" i="2"/>
  <c r="J25" i="2"/>
  <c r="J38" i="2"/>
  <c r="J26" i="2"/>
  <c r="J27" i="2"/>
  <c r="J9" i="2"/>
  <c r="J10" i="2"/>
  <c r="J39" i="2"/>
  <c r="J11" i="2"/>
  <c r="J50" i="2"/>
  <c r="J28" i="2"/>
  <c r="J40" i="2"/>
  <c r="J12" i="2"/>
  <c r="J41" i="2"/>
  <c r="J42" i="2"/>
  <c r="J29" i="2"/>
  <c r="J13" i="2"/>
  <c r="J30" i="2"/>
  <c r="J31" i="2"/>
  <c r="J32" i="2"/>
  <c r="J51" i="2"/>
  <c r="J14" i="2"/>
  <c r="H16" i="2"/>
  <c r="H17" i="2"/>
  <c r="H2" i="2"/>
  <c r="H19" i="2"/>
  <c r="H3" i="2"/>
  <c r="H48" i="2"/>
  <c r="H6" i="2"/>
  <c r="H24" i="2"/>
  <c r="H26" i="2"/>
  <c r="H11" i="2"/>
  <c r="H40" i="2"/>
  <c r="H13" i="2"/>
  <c r="H32" i="2"/>
  <c r="H14" i="2"/>
  <c r="H43" i="2"/>
  <c r="H33" i="2"/>
  <c r="H15" i="2"/>
  <c r="H44" i="2"/>
  <c r="H18" i="2"/>
  <c r="H34" i="2"/>
  <c r="H35" i="2"/>
  <c r="H45" i="2"/>
  <c r="H36" i="2"/>
  <c r="H20" i="2"/>
  <c r="H46" i="2"/>
  <c r="H21" i="2"/>
  <c r="H4" i="2"/>
  <c r="H22" i="2"/>
  <c r="H47" i="2"/>
  <c r="H49" i="2"/>
  <c r="H5" i="2"/>
  <c r="H7" i="2"/>
  <c r="H37" i="2"/>
  <c r="H23" i="2"/>
  <c r="H8" i="2"/>
  <c r="H25" i="2"/>
  <c r="H38" i="2"/>
  <c r="H27" i="2"/>
  <c r="H9" i="2"/>
  <c r="H10" i="2"/>
  <c r="H39" i="2"/>
  <c r="H50" i="2"/>
  <c r="H28" i="2"/>
  <c r="H12" i="2"/>
  <c r="H41" i="2"/>
  <c r="H42" i="2"/>
  <c r="H29" i="2"/>
  <c r="H30" i="2"/>
  <c r="H31" i="2"/>
  <c r="H51" i="2"/>
  <c r="F22" i="2"/>
  <c r="F47" i="2"/>
  <c r="F48" i="2"/>
  <c r="F49" i="2"/>
  <c r="F5" i="2"/>
  <c r="F6" i="2"/>
  <c r="F7" i="2"/>
  <c r="F37" i="2"/>
  <c r="F23" i="2"/>
  <c r="F8" i="2"/>
  <c r="F24" i="2"/>
  <c r="F25" i="2"/>
  <c r="F38" i="2"/>
  <c r="F26" i="2"/>
  <c r="F27" i="2"/>
  <c r="F9" i="2"/>
  <c r="F10" i="2"/>
  <c r="F39" i="2"/>
  <c r="F11" i="2"/>
  <c r="F50" i="2"/>
  <c r="F28" i="2"/>
  <c r="F40" i="2"/>
  <c r="F12" i="2"/>
  <c r="F41" i="2"/>
  <c r="F42" i="2"/>
  <c r="F29" i="2"/>
  <c r="F13" i="2"/>
  <c r="F30" i="2"/>
  <c r="F31" i="2"/>
  <c r="F32" i="2"/>
  <c r="F51" i="2"/>
  <c r="F43" i="2"/>
  <c r="F33" i="2"/>
  <c r="F15" i="2"/>
  <c r="F44" i="2"/>
  <c r="F16" i="2"/>
  <c r="F17" i="2"/>
  <c r="F18" i="2"/>
  <c r="F2" i="2"/>
  <c r="F34" i="2"/>
  <c r="F35" i="2"/>
  <c r="F45" i="2"/>
  <c r="F36" i="2"/>
  <c r="F19" i="2"/>
  <c r="F20" i="2"/>
  <c r="F46" i="2"/>
  <c r="F3" i="2"/>
  <c r="F21" i="2"/>
  <c r="F4" i="2"/>
  <c r="F14" i="2"/>
  <c r="B3" i="1"/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E345CC-5367-4365-9EB5-B8E08C213A43}" keepAlive="1" name="Consulta - Tabela2" description="Conexão com a consulta 'Tabela2' na pasta de trabalho." type="5" refreshedVersion="8" background="1" saveData="1">
    <dbPr connection="Provider=Microsoft.Mashup.OleDb.1;Data Source=$Workbook$;Location=Tabela2;Extended Properties=&quot;&quot;" command="SELECT * FROM [Tabela2]"/>
  </connection>
</connections>
</file>

<file path=xl/sharedStrings.xml><?xml version="1.0" encoding="utf-8"?>
<sst xmlns="http://schemas.openxmlformats.org/spreadsheetml/2006/main" count="948" uniqueCount="274">
  <si>
    <t>PROMOÇÃO APLICADA</t>
  </si>
  <si>
    <t>Data</t>
  </si>
  <si>
    <t>USUÁRIO</t>
  </si>
  <si>
    <t>EXECUTIVO</t>
  </si>
  <si>
    <t>SUPERVISOR</t>
  </si>
  <si>
    <t>COORDENADOR</t>
  </si>
  <si>
    <t>GERENTE</t>
  </si>
  <si>
    <t>GG</t>
  </si>
  <si>
    <t>POLO</t>
  </si>
  <si>
    <t>STATUS</t>
  </si>
  <si>
    <t>MOTIVO</t>
  </si>
  <si>
    <t>Ver Polo</t>
  </si>
  <si>
    <t>Data Cred</t>
  </si>
  <si>
    <t>Retorno</t>
  </si>
  <si>
    <t>Faixa TPV</t>
  </si>
  <si>
    <t>REPROVADO</t>
  </si>
  <si>
    <t>100k+</t>
  </si>
  <si>
    <t>70-100k</t>
  </si>
  <si>
    <t>15-20k</t>
  </si>
  <si>
    <t>20-30k</t>
  </si>
  <si>
    <t>10-15k</t>
  </si>
  <si>
    <t>0-10k</t>
  </si>
  <si>
    <t>50-70k</t>
  </si>
  <si>
    <t>40-50k</t>
  </si>
  <si>
    <t>SUGESTAO</t>
  </si>
  <si>
    <t>EMAIL_GR</t>
  </si>
  <si>
    <t>EMAIL_COORD</t>
  </si>
  <si>
    <t>EMAIL_SUPERV</t>
  </si>
  <si>
    <t>EMAIL_EXEC</t>
  </si>
  <si>
    <t>ID_CLIENTE</t>
  </si>
  <si>
    <t>EMAIL_GG</t>
  </si>
  <si>
    <t>Quantos valores Gr</t>
  </si>
  <si>
    <t>Macro para mandar E-mail único</t>
  </si>
  <si>
    <t>Macro para mandar e-mail com tabelas</t>
  </si>
  <si>
    <t>Quantos valores por ID</t>
  </si>
  <si>
    <t xml:space="preserve"> ------&gt; Lembrar que na aba "Enviar Email para GR" as informações tem que estar formatado como tabela e com o nome: "Tabela2_2"</t>
  </si>
  <si>
    <t>exec_1</t>
  </si>
  <si>
    <t>exec_2</t>
  </si>
  <si>
    <t>exec_3</t>
  </si>
  <si>
    <t>exec_4</t>
  </si>
  <si>
    <t>exec_5</t>
  </si>
  <si>
    <t>exec_6</t>
  </si>
  <si>
    <t>exec_7</t>
  </si>
  <si>
    <t>exec_8</t>
  </si>
  <si>
    <t>exec_9</t>
  </si>
  <si>
    <t>exec_10</t>
  </si>
  <si>
    <t>exec_11</t>
  </si>
  <si>
    <t>exec_12</t>
  </si>
  <si>
    <t>exec_13</t>
  </si>
  <si>
    <t>exec_14</t>
  </si>
  <si>
    <t>exec_15</t>
  </si>
  <si>
    <t>exec_16</t>
  </si>
  <si>
    <t>exec_17</t>
  </si>
  <si>
    <t>exec_18</t>
  </si>
  <si>
    <t>exec_19</t>
  </si>
  <si>
    <t>exec_20</t>
  </si>
  <si>
    <t>exec_21</t>
  </si>
  <si>
    <t>exec_22</t>
  </si>
  <si>
    <t>exec_23</t>
  </si>
  <si>
    <t>exec_24</t>
  </si>
  <si>
    <t>exec_25</t>
  </si>
  <si>
    <t>exec_26</t>
  </si>
  <si>
    <t>exec_27</t>
  </si>
  <si>
    <t>exec_28</t>
  </si>
  <si>
    <t>exec_29</t>
  </si>
  <si>
    <t>exec_30</t>
  </si>
  <si>
    <t>exec_31</t>
  </si>
  <si>
    <t>exec_32</t>
  </si>
  <si>
    <t>exec_33</t>
  </si>
  <si>
    <t>exec_34</t>
  </si>
  <si>
    <t>exec_35</t>
  </si>
  <si>
    <t>exec_36</t>
  </si>
  <si>
    <t>exec_37</t>
  </si>
  <si>
    <t>exec_38</t>
  </si>
  <si>
    <t>exec_39</t>
  </si>
  <si>
    <t>exec_40</t>
  </si>
  <si>
    <t>exec_41</t>
  </si>
  <si>
    <t>exec_42</t>
  </si>
  <si>
    <t>exec_43</t>
  </si>
  <si>
    <t>exec_44</t>
  </si>
  <si>
    <t>exec_45</t>
  </si>
  <si>
    <t>exec_46</t>
  </si>
  <si>
    <t>exec_47</t>
  </si>
  <si>
    <t>exec_48</t>
  </si>
  <si>
    <t>exec_49</t>
  </si>
  <si>
    <t>exec_50</t>
  </si>
  <si>
    <t>Executivo 1</t>
  </si>
  <si>
    <t>Executivo 2</t>
  </si>
  <si>
    <t>Executivo 3</t>
  </si>
  <si>
    <t>Executivo 4</t>
  </si>
  <si>
    <t>Executivo 5</t>
  </si>
  <si>
    <t>Executivo 6</t>
  </si>
  <si>
    <t>Executivo 7</t>
  </si>
  <si>
    <t>Executivo 8</t>
  </si>
  <si>
    <t>Executivo 9</t>
  </si>
  <si>
    <t>Executivo 10</t>
  </si>
  <si>
    <t>Executivo 11</t>
  </si>
  <si>
    <t>Executivo 12</t>
  </si>
  <si>
    <t>Executivo 13</t>
  </si>
  <si>
    <t>Executivo 14</t>
  </si>
  <si>
    <t>Executivo 15</t>
  </si>
  <si>
    <t>Executivo 16</t>
  </si>
  <si>
    <t>Executivo 17</t>
  </si>
  <si>
    <t>Executivo 18</t>
  </si>
  <si>
    <t>Executivo 19</t>
  </si>
  <si>
    <t>Executivo 20</t>
  </si>
  <si>
    <t>Executivo 21</t>
  </si>
  <si>
    <t>Executivo 22</t>
  </si>
  <si>
    <t>Executivo 23</t>
  </si>
  <si>
    <t>Executivo 24</t>
  </si>
  <si>
    <t>Executivo 25</t>
  </si>
  <si>
    <t>Executivo 26</t>
  </si>
  <si>
    <t>Executivo 27</t>
  </si>
  <si>
    <t>Executivo 28</t>
  </si>
  <si>
    <t>Executivo 29</t>
  </si>
  <si>
    <t>Executivo 30</t>
  </si>
  <si>
    <t>Executivo 31</t>
  </si>
  <si>
    <t>Executivo 32</t>
  </si>
  <si>
    <t>Executivo 33</t>
  </si>
  <si>
    <t>Executivo 34</t>
  </si>
  <si>
    <t>Executivo 35</t>
  </si>
  <si>
    <t>Executivo 36</t>
  </si>
  <si>
    <t>Executivo 37</t>
  </si>
  <si>
    <t>Executivo 38</t>
  </si>
  <si>
    <t>Executivo 39</t>
  </si>
  <si>
    <t>Executivo 40</t>
  </si>
  <si>
    <t>Executivo 41</t>
  </si>
  <si>
    <t>Executivo 42</t>
  </si>
  <si>
    <t>Executivo 43</t>
  </si>
  <si>
    <t>Executivo 44</t>
  </si>
  <si>
    <t>Executivo 45</t>
  </si>
  <si>
    <t>Executivo 46</t>
  </si>
  <si>
    <t>Executivo 47</t>
  </si>
  <si>
    <t>Executivo 48</t>
  </si>
  <si>
    <t>Executivo 49</t>
  </si>
  <si>
    <t>Executivo 50</t>
  </si>
  <si>
    <t>Supervisor 1</t>
  </si>
  <si>
    <t>Supervisor 2</t>
  </si>
  <si>
    <t>Supervisor 3</t>
  </si>
  <si>
    <t>Supervisor 4</t>
  </si>
  <si>
    <t>Supervisor 5</t>
  </si>
  <si>
    <t>Supervisor 8</t>
  </si>
  <si>
    <t>Supervisor 6</t>
  </si>
  <si>
    <t>Supervisor 9</t>
  </si>
  <si>
    <t>Supervisor 7</t>
  </si>
  <si>
    <t>Coordenador 2</t>
  </si>
  <si>
    <t>Coordenador 4</t>
  </si>
  <si>
    <t>Coordenador 3</t>
  </si>
  <si>
    <t>Coordenador 1</t>
  </si>
  <si>
    <t>Gerente 1</t>
  </si>
  <si>
    <t>Gerente 2</t>
  </si>
  <si>
    <t>Diretoria Comercial</t>
  </si>
  <si>
    <t>Polo 1</t>
  </si>
  <si>
    <t>Polo 2</t>
  </si>
  <si>
    <t>Polo 3</t>
  </si>
  <si>
    <t>Polo 4</t>
  </si>
  <si>
    <t>Polo 5</t>
  </si>
  <si>
    <t>Polo 6</t>
  </si>
  <si>
    <t>Polo 8</t>
  </si>
  <si>
    <t>Polo 9</t>
  </si>
  <si>
    <t>Polo 10</t>
  </si>
  <si>
    <t>Polo 11</t>
  </si>
  <si>
    <t>Polo 12</t>
  </si>
  <si>
    <t>Polo 13</t>
  </si>
  <si>
    <t>Polo 14</t>
  </si>
  <si>
    <t>Polo 15</t>
  </si>
  <si>
    <t>Polo 16</t>
  </si>
  <si>
    <t>Polo 17</t>
  </si>
  <si>
    <t>Polo 18</t>
  </si>
  <si>
    <t>Polo 19</t>
  </si>
  <si>
    <t>Polo 20</t>
  </si>
  <si>
    <t>Polo 21</t>
  </si>
  <si>
    <t>Polo 22</t>
  </si>
  <si>
    <t>Polo 23</t>
  </si>
  <si>
    <t>Polo 24</t>
  </si>
  <si>
    <t>Polo 25</t>
  </si>
  <si>
    <t>Polo 26</t>
  </si>
  <si>
    <t>Polo 27</t>
  </si>
  <si>
    <t>Polo 28</t>
  </si>
  <si>
    <t>Polo 29</t>
  </si>
  <si>
    <t>Polo 30</t>
  </si>
  <si>
    <t>Polo 31</t>
  </si>
  <si>
    <t>Polo 32</t>
  </si>
  <si>
    <t>Polo 33</t>
  </si>
  <si>
    <t>Polo 34</t>
  </si>
  <si>
    <t>Polo 35</t>
  </si>
  <si>
    <t>Polo 36</t>
  </si>
  <si>
    <t>Polo 37</t>
  </si>
  <si>
    <t>Polo 38</t>
  </si>
  <si>
    <t>Polo 39</t>
  </si>
  <si>
    <t>Polo 40</t>
  </si>
  <si>
    <t>Polo 41</t>
  </si>
  <si>
    <t>Polo 42</t>
  </si>
  <si>
    <t>Polo 43</t>
  </si>
  <si>
    <t>Polo 44</t>
  </si>
  <si>
    <t>Polo 45</t>
  </si>
  <si>
    <t>Polo 46</t>
  </si>
  <si>
    <t>SEM INFORMAÇÃO</t>
  </si>
  <si>
    <t>FALTA DOCUMEENTO</t>
  </si>
  <si>
    <t>JUSTIFICATIVA RUIM</t>
  </si>
  <si>
    <t>MARGEM</t>
  </si>
  <si>
    <t>CADASTRO</t>
  </si>
  <si>
    <t>MARGEM NEGATIVA</t>
  </si>
  <si>
    <t>Promoção 27</t>
  </si>
  <si>
    <t>Promoção 20</t>
  </si>
  <si>
    <t>Promoção 12</t>
  </si>
  <si>
    <t>Promoção 6</t>
  </si>
  <si>
    <t>Promoção 23</t>
  </si>
  <si>
    <t>Promoção 10</t>
  </si>
  <si>
    <t>Promoção 28</t>
  </si>
  <si>
    <t>Promoção 24</t>
  </si>
  <si>
    <t>Promoção 1</t>
  </si>
  <si>
    <t>Promoção 17</t>
  </si>
  <si>
    <t>Promoção 22</t>
  </si>
  <si>
    <t>Promoção 30</t>
  </si>
  <si>
    <t>Promoção 29</t>
  </si>
  <si>
    <t>Promoção 5</t>
  </si>
  <si>
    <t>Promoção 13</t>
  </si>
  <si>
    <t>Promoção 18</t>
  </si>
  <si>
    <t>Promoção 3</t>
  </si>
  <si>
    <t>Promoção 14</t>
  </si>
  <si>
    <t>Promoção 26</t>
  </si>
  <si>
    <t>Promoção 25</t>
  </si>
  <si>
    <t>Promoção 16</t>
  </si>
  <si>
    <t>Promoção 2</t>
  </si>
  <si>
    <t>Promoção 4</t>
  </si>
  <si>
    <t>Promoção 11</t>
  </si>
  <si>
    <t>Promoção 19</t>
  </si>
  <si>
    <t>Promoção 8</t>
  </si>
  <si>
    <t>Taxa 149</t>
  </si>
  <si>
    <t>Taxa 146</t>
  </si>
  <si>
    <t>Taxa 51</t>
  </si>
  <si>
    <t>Taxa 100</t>
  </si>
  <si>
    <t>Taxa 128</t>
  </si>
  <si>
    <t>Taxa 71</t>
  </si>
  <si>
    <t>Taxa 102</t>
  </si>
  <si>
    <t>Taxa 107</t>
  </si>
  <si>
    <t>Taxa 140</t>
  </si>
  <si>
    <t>Taxa 74</t>
  </si>
  <si>
    <t>Taxa 86</t>
  </si>
  <si>
    <t>Taxa 116</t>
  </si>
  <si>
    <t>Taxa 133</t>
  </si>
  <si>
    <t>Taxa 127</t>
  </si>
  <si>
    <t>Taxa 69</t>
  </si>
  <si>
    <t>Taxa 136</t>
  </si>
  <si>
    <t>Taxa 77</t>
  </si>
  <si>
    <t>Taxa 64</t>
  </si>
  <si>
    <t>Taxa 83</t>
  </si>
  <si>
    <t>Taxa 72</t>
  </si>
  <si>
    <t>Taxa 113</t>
  </si>
  <si>
    <t>Taxa 104</t>
  </si>
  <si>
    <t>Taxa 79</t>
  </si>
  <si>
    <t>Taxa 148</t>
  </si>
  <si>
    <t>Taxa 75</t>
  </si>
  <si>
    <t>Taxa 106</t>
  </si>
  <si>
    <t>Taxa 89</t>
  </si>
  <si>
    <t>Taxa 103</t>
  </si>
  <si>
    <t>Taxa 70</t>
  </si>
  <si>
    <t>Taxa 105</t>
  </si>
  <si>
    <t>Taxa 52</t>
  </si>
  <si>
    <t>Taxa 138</t>
  </si>
  <si>
    <t>Taxa 137</t>
  </si>
  <si>
    <t>Taxa 78</t>
  </si>
  <si>
    <t>Taxa 84</t>
  </si>
  <si>
    <t>Taxa 62</t>
  </si>
  <si>
    <t>Taxa 124</t>
  </si>
  <si>
    <t>Taxa 80</t>
  </si>
  <si>
    <t>Taxa 59</t>
  </si>
  <si>
    <t>Taxa 91</t>
  </si>
  <si>
    <t>Taxa 143</t>
  </si>
  <si>
    <t>Taxa 110</t>
  </si>
  <si>
    <t>ger_1@empresa.com</t>
  </si>
  <si>
    <t>ger_2@empresa.com</t>
  </si>
  <si>
    <t>dir_1@empresa.com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</si>
</sst>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4" fillId="0" borderId="1" xfId="0" applyFont="1" applyBorder="1"/>
    <xf numFmtId="0" fontId="4" fillId="0" borderId="0" xfId="0" applyFont="1"/>
    <xf numFmtId="14" fontId="4" fillId="0" borderId="0" xfId="0" applyNumberFormat="1" applyFont="1"/>
    <xf numFmtId="3" fontId="4" fillId="0" borderId="0" xfId="0" applyNumberFormat="1" applyFont="1"/>
    <xf numFmtId="14" fontId="3" fillId="2" borderId="1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4" fillId="3" borderId="1" xfId="0" applyFont="1" applyFill="1" applyBorder="1" applyAlignment="1">
      <alignment horizontal="left"/>
    </xf>
  </cellXfs>
  <cellStyles count="1">
    <cellStyle name="Normal" xfId="0" builtinId="0"/>
  </cellStyles>
  <dxfs count="28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800080"/>
      </font>
      <fill>
        <patternFill>
          <bgColor rgb="FFFF99CC"/>
        </patternFill>
      </fill>
    </dxf>
    <dxf>
      <font>
        <color rgb="FF800080"/>
      </font>
      <fill>
        <patternFill>
          <bgColor rgb="FFFF99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0080"/>
      </font>
      <fill>
        <patternFill>
          <bgColor rgb="FFFF99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0080"/>
      </font>
      <fill>
        <patternFill>
          <bgColor rgb="FFFF99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0080"/>
      </font>
      <fill>
        <patternFill>
          <bgColor rgb="FFFF99CC"/>
        </patternFill>
      </fill>
    </dxf>
    <dxf>
      <font>
        <color rgb="FF800080"/>
      </font>
      <fill>
        <patternFill>
          <bgColor rgb="FFFF99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0080"/>
      </font>
      <fill>
        <patternFill>
          <bgColor rgb="FFFF99C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</xdr:row>
          <xdr:rowOff>95250</xdr:rowOff>
        </xdr:from>
        <xdr:to>
          <xdr:col>6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133350</xdr:rowOff>
        </xdr:from>
        <xdr:to>
          <xdr:col>6</xdr:col>
          <xdr:colOff>161925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238125</xdr:colOff>
          <xdr:row>0</xdr:row>
          <xdr:rowOff>142875</xdr:rowOff>
        </xdr:from>
        <xdr:to>
          <xdr:col>26</xdr:col>
          <xdr:colOff>390525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FB7215A8-EE63-4E9E-A45F-304D393D591C}" autoFormatId="16" applyNumberFormats="0" applyBorderFormats="0" applyFontFormats="0" applyPatternFormats="0" applyAlignmentFormats="0" applyWidthHeightFormats="0">
  <queryTableRefresh nextId="7">
    <queryTableFields count="6">
      <queryTableField id="1" name="GERENTE" tableColumnId="1"/>
      <queryTableField id="2" name="EMAIL_GR" tableColumnId="2"/>
      <queryTableField id="3" name="GG" tableColumnId="3"/>
      <queryTableField id="4" name="EMAIL_GG" tableColumnId="4"/>
      <queryTableField id="5" name="ID_CLIENTE" tableColumnId="5"/>
      <queryTableField id="6" name="SUGESTAO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E9C87E-37E2-45A5-AE74-95F94D223FD3}" name="Tabela2_2" displayName="Tabela2_2" ref="A1:F51" tableType="queryTable" totalsRowShown="0" headerRowDxfId="7" dataDxfId="6">
  <autoFilter ref="A1:F51" xr:uid="{14E9C87E-37E2-45A5-AE74-95F94D223FD3}"/>
  <tableColumns count="6">
    <tableColumn id="1" xr3:uid="{B4B15E66-ABC0-4E5C-B143-66F60FAB20FC}" uniqueName="1" name="GERENTE" queryTableFieldId="1" dataDxfId="5"/>
    <tableColumn id="2" xr3:uid="{F8CB243A-497E-4246-AC63-5B9B2B4709F4}" uniqueName="2" name="EMAIL_GR" queryTableFieldId="2" dataDxfId="4"/>
    <tableColumn id="3" xr3:uid="{06F87F4F-81EE-4ECC-B7F1-49724D2F85F0}" uniqueName="3" name="GG" queryTableFieldId="3" dataDxfId="3"/>
    <tableColumn id="4" xr3:uid="{C52464EB-E2C6-4CB8-838B-EC2A5848BFF2}" uniqueName="4" name="EMAIL_GG" queryTableFieldId="4" dataDxfId="2"/>
    <tableColumn id="5" xr3:uid="{6B25EA32-8DCD-4F53-BCD7-B33A7267F7DB}" uniqueName="5" name="ID_CLIENTE" queryTableFieldId="5" dataDxfId="1"/>
    <tableColumn id="6" xr3:uid="{6B158F0D-949C-4204-8475-6DE21B309F36}" uniqueName="6" name="SUGESTAO" queryTableFieldId="6" dataDxfId="0"/>
  </tableColumns>
  <tableStyleInfo name="TableStyleLight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A3FAC-0A1D-4657-BE3D-55EF268010DA}">
  <sheetPr codeName="Planilha1"/>
  <dimension ref="A2:L6"/>
  <sheetViews>
    <sheetView tabSelected="1" workbookViewId="0">
      <selection activeCell="B14" sqref="B14"/>
    </sheetView>
  </sheetViews>
  <sheetFormatPr defaultRowHeight="15" x14ac:dyDescent="0.25"/>
  <cols>
    <col min="1" max="1" width="21.42578125" bestFit="1" customWidth="1"/>
  </cols>
  <sheetData>
    <row r="2" spans="1:12" x14ac:dyDescent="0.25">
      <c r="A2" t="s">
        <v>34</v>
      </c>
      <c r="B2">
        <f>COUNTA('Enviar E-mail para EXEC'!A:A)+1</f>
        <v>52</v>
      </c>
    </row>
    <row r="3" spans="1:12" x14ac:dyDescent="0.25">
      <c r="A3" t="s">
        <v>31</v>
      </c>
      <c r="B3">
        <f>COUNTA(GR!A:A)+1</f>
        <v>4</v>
      </c>
      <c r="H3" t="s">
        <v>32</v>
      </c>
    </row>
    <row r="6" spans="1:12" x14ac:dyDescent="0.25">
      <c r="H6" t="s">
        <v>33</v>
      </c>
      <c r="L6" s="10" t="s">
        <v>35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3</xdr:col>
                    <xdr:colOff>600075</xdr:colOff>
                    <xdr:row>1</xdr:row>
                    <xdr:rowOff>95250</xdr:rowOff>
                  </from>
                  <to>
                    <xdr:col>6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3">
                <anchor moveWithCells="1" sizeWithCells="1">
                  <from>
                    <xdr:col>4</xdr:col>
                    <xdr:colOff>9525</xdr:colOff>
                    <xdr:row>4</xdr:row>
                    <xdr:rowOff>133350</xdr:rowOff>
                  </from>
                  <to>
                    <xdr:col>6</xdr:col>
                    <xdr:colOff>161925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B4997-517E-4EC6-B2AA-3656B0131385}">
  <sheetPr codeName="Planilha2"/>
  <dimension ref="A1:W51"/>
  <sheetViews>
    <sheetView topLeftCell="M1" workbookViewId="0">
      <selection activeCell="W2" sqref="W2:W51"/>
    </sheetView>
  </sheetViews>
  <sheetFormatPr defaultRowHeight="14.25" x14ac:dyDescent="0.2"/>
  <cols>
    <col min="1" max="1" width="25.140625" style="11" bestFit="1" customWidth="1"/>
    <col min="2" max="2" width="12.7109375" style="11" bestFit="1" customWidth="1"/>
    <col min="3" max="3" width="11.28515625" style="11" bestFit="1" customWidth="1"/>
    <col min="4" max="4" width="19" style="11" customWidth="1"/>
    <col min="5" max="5" width="13.5703125" style="11" bestFit="1" customWidth="1"/>
    <col min="6" max="6" width="25.5703125" style="11" bestFit="1" customWidth="1"/>
    <col min="7" max="7" width="15.140625" style="11" bestFit="1" customWidth="1"/>
    <col min="8" max="8" width="25.140625" style="11" bestFit="1" customWidth="1"/>
    <col min="9" max="9" width="25.140625" style="11" customWidth="1"/>
    <col min="10" max="10" width="24.85546875" style="11" bestFit="1" customWidth="1"/>
    <col min="11" max="11" width="29.42578125" style="11" bestFit="1" customWidth="1"/>
    <col min="12" max="12" width="24.28515625" style="11" bestFit="1" customWidth="1"/>
    <col min="13" max="13" width="19.42578125" style="11" customWidth="1"/>
    <col min="14" max="14" width="26.42578125" style="11" customWidth="1"/>
    <col min="15" max="15" width="10.7109375" style="11" customWidth="1"/>
    <col min="16" max="16" width="23.42578125" style="11" bestFit="1" customWidth="1"/>
    <col min="17" max="18" width="10.7109375" style="11" customWidth="1"/>
    <col min="19" max="19" width="13.42578125" style="11" bestFit="1" customWidth="1"/>
    <col min="20" max="20" width="12.85546875" style="11" bestFit="1" customWidth="1"/>
    <col min="21" max="21" width="10.7109375" style="11" customWidth="1"/>
    <col min="22" max="22" width="10.5703125" style="11" customWidth="1"/>
    <col min="23" max="23" width="20.28515625" style="11" bestFit="1" customWidth="1"/>
    <col min="24" max="16384" width="9.140625" style="11"/>
  </cols>
  <sheetData>
    <row r="1" spans="1:23" s="17" customFormat="1" ht="15" x14ac:dyDescent="0.25">
      <c r="A1" s="1" t="s">
        <v>0</v>
      </c>
      <c r="B1" s="1" t="s">
        <v>29</v>
      </c>
      <c r="C1" s="16" t="s">
        <v>1</v>
      </c>
      <c r="D1" s="1" t="s">
        <v>2</v>
      </c>
      <c r="E1" s="1" t="s">
        <v>3</v>
      </c>
      <c r="F1" s="1" t="s">
        <v>28</v>
      </c>
      <c r="G1" s="1" t="s">
        <v>4</v>
      </c>
      <c r="H1" s="1" t="s">
        <v>27</v>
      </c>
      <c r="I1" s="1" t="s">
        <v>5</v>
      </c>
      <c r="J1" s="1" t="s">
        <v>26</v>
      </c>
      <c r="K1" s="1" t="s">
        <v>6</v>
      </c>
      <c r="L1" s="1" t="s">
        <v>25</v>
      </c>
      <c r="M1" s="1" t="s">
        <v>7</v>
      </c>
      <c r="N1" s="1" t="s">
        <v>8</v>
      </c>
      <c r="O1" s="1" t="s">
        <v>9</v>
      </c>
      <c r="P1" s="1" t="s">
        <v>10</v>
      </c>
      <c r="Q1" s="2" t="s">
        <v>11</v>
      </c>
      <c r="R1" s="2" t="s">
        <v>200</v>
      </c>
      <c r="S1" s="2" t="s">
        <v>12</v>
      </c>
      <c r="T1" s="2" t="s">
        <v>13</v>
      </c>
      <c r="U1" s="2" t="s">
        <v>201</v>
      </c>
      <c r="V1" s="2" t="s">
        <v>14</v>
      </c>
      <c r="W1" s="2" t="s">
        <v>24</v>
      </c>
    </row>
    <row r="2" spans="1:23" x14ac:dyDescent="0.2">
      <c r="A2" s="12" t="s">
        <v>203</v>
      </c>
      <c r="B2" s="3">
        <v>753795936</v>
      </c>
      <c r="C2" s="4">
        <v>44684</v>
      </c>
      <c r="D2" s="3" t="s">
        <v>44</v>
      </c>
      <c r="E2" s="3" t="s">
        <v>94</v>
      </c>
      <c r="F2" s="3" t="str">
        <f>D2&amp;"@empresa.com"</f>
        <v>exec_9@empresa.com</v>
      </c>
      <c r="G2" s="3" t="s">
        <v>143</v>
      </c>
      <c r="H2" s="3" t="str">
        <f>"super_"&amp;RIGHT(G2,1)&amp;"@empresa.com"</f>
        <v>super_9@empresa.com</v>
      </c>
      <c r="I2" s="3" t="s">
        <v>148</v>
      </c>
      <c r="J2" s="3" t="str">
        <f>"coord_"&amp;RIGHT(I2,1)&amp;"@empresa.com"</f>
        <v>coord_1@empresa.com</v>
      </c>
      <c r="K2" s="3" t="s">
        <v>149</v>
      </c>
      <c r="L2" s="3" t="str">
        <f>"ger_"&amp;RIGHT(K2,1)&amp;"@empresa.com"</f>
        <v>ger_1@empresa.com</v>
      </c>
      <c r="M2" s="3" t="s">
        <v>151</v>
      </c>
      <c r="N2" s="3" t="s">
        <v>152</v>
      </c>
      <c r="O2" s="3" t="s">
        <v>15</v>
      </c>
      <c r="P2" s="12" t="s">
        <v>197</v>
      </c>
      <c r="Q2" s="13">
        <v>1</v>
      </c>
      <c r="R2" s="13">
        <v>-425</v>
      </c>
      <c r="S2" s="14">
        <v>44684</v>
      </c>
      <c r="T2" s="13" t="s">
        <v>202</v>
      </c>
      <c r="U2" s="13">
        <v>7230</v>
      </c>
      <c r="V2" s="15" t="s">
        <v>20</v>
      </c>
      <c r="W2" s="13" t="s">
        <v>229</v>
      </c>
    </row>
    <row r="3" spans="1:23" x14ac:dyDescent="0.2">
      <c r="A3" s="12" t="s">
        <v>204</v>
      </c>
      <c r="B3" s="3">
        <v>274970765</v>
      </c>
      <c r="C3" s="4">
        <v>44614</v>
      </c>
      <c r="D3" s="3" t="s">
        <v>52</v>
      </c>
      <c r="E3" s="3" t="s">
        <v>102</v>
      </c>
      <c r="F3" s="3" t="str">
        <f>D3&amp;"@empresa.com"</f>
        <v>exec_17@empresa.com</v>
      </c>
      <c r="G3" s="3" t="s">
        <v>139</v>
      </c>
      <c r="H3" s="3" t="str">
        <f>"super_"&amp;RIGHT(G3,1)&amp;"@empresa.com"</f>
        <v>super_4@empresa.com</v>
      </c>
      <c r="I3" s="3" t="s">
        <v>148</v>
      </c>
      <c r="J3" s="3" t="str">
        <f>"coord_"&amp;RIGHT(I3,1)&amp;"@empresa.com"</f>
        <v>coord_1@empresa.com</v>
      </c>
      <c r="K3" s="3" t="s">
        <v>149</v>
      </c>
      <c r="L3" s="3" t="str">
        <f t="shared" ref="L3:L51" si="0">"ger_"&amp;RIGHT(K3,1)&amp;"@empresa.com"</f>
        <v>ger_1@empresa.com</v>
      </c>
      <c r="M3" s="3" t="s">
        <v>151</v>
      </c>
      <c r="N3" s="3" t="s">
        <v>153</v>
      </c>
      <c r="O3" s="3" t="s">
        <v>15</v>
      </c>
      <c r="P3" s="3" t="s">
        <v>198</v>
      </c>
      <c r="Q3" s="13">
        <v>1</v>
      </c>
      <c r="R3" s="13">
        <v>-965</v>
      </c>
      <c r="S3" s="14">
        <v>44614</v>
      </c>
      <c r="T3" s="13" t="s">
        <v>202</v>
      </c>
      <c r="U3" s="13">
        <v>7230</v>
      </c>
      <c r="V3" s="15" t="s">
        <v>21</v>
      </c>
      <c r="W3" s="13" t="s">
        <v>230</v>
      </c>
    </row>
    <row r="4" spans="1:23" x14ac:dyDescent="0.2">
      <c r="A4" s="12" t="s">
        <v>205</v>
      </c>
      <c r="B4" s="3">
        <v>599146244</v>
      </c>
      <c r="C4" s="4">
        <v>44652</v>
      </c>
      <c r="D4" s="3" t="s">
        <v>54</v>
      </c>
      <c r="E4" s="3" t="s">
        <v>104</v>
      </c>
      <c r="F4" s="3" t="str">
        <f>D4&amp;"@empresa.com"</f>
        <v>exec_19@empresa.com</v>
      </c>
      <c r="G4" s="3" t="s">
        <v>143</v>
      </c>
      <c r="H4" s="3" t="str">
        <f>"super_"&amp;RIGHT(G4,1)&amp;"@empresa.com"</f>
        <v>super_9@empresa.com</v>
      </c>
      <c r="I4" s="3" t="s">
        <v>148</v>
      </c>
      <c r="J4" s="3" t="str">
        <f>"coord_"&amp;RIGHT(I4,1)&amp;"@empresa.com"</f>
        <v>coord_1@empresa.com</v>
      </c>
      <c r="K4" s="3" t="s">
        <v>149</v>
      </c>
      <c r="L4" s="3" t="str">
        <f t="shared" si="0"/>
        <v>ger_1@empresa.com</v>
      </c>
      <c r="M4" s="3" t="s">
        <v>151</v>
      </c>
      <c r="N4" s="3" t="s">
        <v>154</v>
      </c>
      <c r="O4" s="3" t="s">
        <v>15</v>
      </c>
      <c r="P4" s="3" t="s">
        <v>199</v>
      </c>
      <c r="Q4" s="13">
        <v>1</v>
      </c>
      <c r="R4" s="13">
        <v>-697</v>
      </c>
      <c r="S4" s="14">
        <v>44652</v>
      </c>
      <c r="T4" s="13" t="s">
        <v>202</v>
      </c>
      <c r="U4" s="13">
        <v>5999</v>
      </c>
      <c r="V4" s="15" t="s">
        <v>22</v>
      </c>
      <c r="W4" s="13" t="s">
        <v>231</v>
      </c>
    </row>
    <row r="5" spans="1:23" x14ac:dyDescent="0.2">
      <c r="A5" s="12" t="s">
        <v>206</v>
      </c>
      <c r="B5" s="3">
        <v>515569022</v>
      </c>
      <c r="C5" s="4">
        <v>44685</v>
      </c>
      <c r="D5" s="3" t="s">
        <v>59</v>
      </c>
      <c r="E5" s="3" t="s">
        <v>109</v>
      </c>
      <c r="F5" s="3" t="str">
        <f>D5&amp;"@empresa.com"</f>
        <v>exec_24@empresa.com</v>
      </c>
      <c r="G5" s="3" t="s">
        <v>139</v>
      </c>
      <c r="H5" s="3" t="str">
        <f>"super_"&amp;RIGHT(G5,1)&amp;"@empresa.com"</f>
        <v>super_4@empresa.com</v>
      </c>
      <c r="I5" s="3" t="s">
        <v>148</v>
      </c>
      <c r="J5" s="3" t="str">
        <f>"coord_"&amp;RIGHT(I5,1)&amp;"@empresa.com"</f>
        <v>coord_1@empresa.com</v>
      </c>
      <c r="K5" s="3" t="s">
        <v>149</v>
      </c>
      <c r="L5" s="3" t="str">
        <f t="shared" si="0"/>
        <v>ger_1@empresa.com</v>
      </c>
      <c r="M5" s="3" t="s">
        <v>151</v>
      </c>
      <c r="N5" s="3" t="s">
        <v>155</v>
      </c>
      <c r="O5" s="3" t="s">
        <v>15</v>
      </c>
      <c r="P5" s="12" t="s">
        <v>197</v>
      </c>
      <c r="Q5" s="13">
        <v>1</v>
      </c>
      <c r="R5" s="13">
        <v>-709</v>
      </c>
      <c r="S5" s="14">
        <v>44685</v>
      </c>
      <c r="T5" s="13" t="s">
        <v>202</v>
      </c>
      <c r="U5" s="13">
        <v>5921</v>
      </c>
      <c r="V5" s="15" t="s">
        <v>21</v>
      </c>
      <c r="W5" s="13" t="s">
        <v>232</v>
      </c>
    </row>
    <row r="6" spans="1:23" x14ac:dyDescent="0.2">
      <c r="A6" s="12" t="s">
        <v>207</v>
      </c>
      <c r="B6" s="3">
        <v>682324755</v>
      </c>
      <c r="C6" s="4">
        <v>44691</v>
      </c>
      <c r="D6" s="3" t="s">
        <v>60</v>
      </c>
      <c r="E6" s="3" t="s">
        <v>110</v>
      </c>
      <c r="F6" s="3" t="str">
        <f>D6&amp;"@empresa.com"</f>
        <v>exec_25@empresa.com</v>
      </c>
      <c r="G6" s="3" t="s">
        <v>139</v>
      </c>
      <c r="H6" s="3" t="str">
        <f>"super_"&amp;RIGHT(G6,1)&amp;"@empresa.com"</f>
        <v>super_4@empresa.com</v>
      </c>
      <c r="I6" s="3" t="s">
        <v>148</v>
      </c>
      <c r="J6" s="3" t="str">
        <f>"coord_"&amp;RIGHT(I6,1)&amp;"@empresa.com"</f>
        <v>coord_1@empresa.com</v>
      </c>
      <c r="K6" s="3" t="s">
        <v>149</v>
      </c>
      <c r="L6" s="3" t="str">
        <f t="shared" si="0"/>
        <v>ger_1@empresa.com</v>
      </c>
      <c r="M6" s="3" t="s">
        <v>151</v>
      </c>
      <c r="N6" s="3" t="s">
        <v>156</v>
      </c>
      <c r="O6" s="3" t="s">
        <v>15</v>
      </c>
      <c r="P6" s="3" t="s">
        <v>198</v>
      </c>
      <c r="Q6" s="13">
        <v>1</v>
      </c>
      <c r="R6" s="13">
        <v>-985</v>
      </c>
      <c r="S6" s="14">
        <v>44692</v>
      </c>
      <c r="T6" s="13" t="s">
        <v>202</v>
      </c>
      <c r="U6" s="13">
        <v>5499</v>
      </c>
      <c r="V6" s="15" t="s">
        <v>16</v>
      </c>
      <c r="W6" s="13" t="s">
        <v>233</v>
      </c>
    </row>
    <row r="7" spans="1:23" x14ac:dyDescent="0.2">
      <c r="A7" s="12" t="s">
        <v>208</v>
      </c>
      <c r="B7" s="3">
        <v>259451695</v>
      </c>
      <c r="C7" s="4">
        <v>44691</v>
      </c>
      <c r="D7" s="3" t="s">
        <v>61</v>
      </c>
      <c r="E7" s="3" t="s">
        <v>111</v>
      </c>
      <c r="F7" s="3" t="str">
        <f>D7&amp;"@empresa.com"</f>
        <v>exec_26@empresa.com</v>
      </c>
      <c r="G7" s="3" t="s">
        <v>143</v>
      </c>
      <c r="H7" s="3" t="str">
        <f>"super_"&amp;RIGHT(G7,1)&amp;"@empresa.com"</f>
        <v>super_9@empresa.com</v>
      </c>
      <c r="I7" s="3" t="s">
        <v>148</v>
      </c>
      <c r="J7" s="3" t="str">
        <f>"coord_"&amp;RIGHT(I7,1)&amp;"@empresa.com"</f>
        <v>coord_1@empresa.com</v>
      </c>
      <c r="K7" s="3" t="s">
        <v>149</v>
      </c>
      <c r="L7" s="3" t="str">
        <f t="shared" si="0"/>
        <v>ger_1@empresa.com</v>
      </c>
      <c r="M7" s="3" t="s">
        <v>151</v>
      </c>
      <c r="N7" s="3" t="s">
        <v>157</v>
      </c>
      <c r="O7" s="3" t="s">
        <v>15</v>
      </c>
      <c r="P7" s="3" t="s">
        <v>199</v>
      </c>
      <c r="Q7" s="13">
        <v>1</v>
      </c>
      <c r="R7" s="13">
        <v>-266</v>
      </c>
      <c r="S7" s="14">
        <v>44691</v>
      </c>
      <c r="T7" s="13" t="s">
        <v>202</v>
      </c>
      <c r="U7" s="13">
        <v>5211</v>
      </c>
      <c r="V7" s="15" t="s">
        <v>18</v>
      </c>
      <c r="W7" s="13" t="s">
        <v>234</v>
      </c>
    </row>
    <row r="8" spans="1:23" x14ac:dyDescent="0.2">
      <c r="A8" s="12" t="s">
        <v>209</v>
      </c>
      <c r="B8" s="3">
        <v>426591400</v>
      </c>
      <c r="C8" s="4">
        <v>44693</v>
      </c>
      <c r="D8" s="3" t="s">
        <v>64</v>
      </c>
      <c r="E8" s="3" t="s">
        <v>114</v>
      </c>
      <c r="F8" s="3" t="str">
        <f>D8&amp;"@empresa.com"</f>
        <v>exec_29@empresa.com</v>
      </c>
      <c r="G8" s="3" t="s">
        <v>143</v>
      </c>
      <c r="H8" s="3" t="str">
        <f>"super_"&amp;RIGHT(G8,1)&amp;"@empresa.com"</f>
        <v>super_9@empresa.com</v>
      </c>
      <c r="I8" s="3" t="s">
        <v>148</v>
      </c>
      <c r="J8" s="3" t="str">
        <f>"coord_"&amp;RIGHT(I8,1)&amp;"@empresa.com"</f>
        <v>coord_1@empresa.com</v>
      </c>
      <c r="K8" s="3" t="s">
        <v>149</v>
      </c>
      <c r="L8" s="3" t="str">
        <f t="shared" si="0"/>
        <v>ger_1@empresa.com</v>
      </c>
      <c r="M8" s="3" t="s">
        <v>151</v>
      </c>
      <c r="N8" s="3" t="s">
        <v>155</v>
      </c>
      <c r="O8" s="3" t="s">
        <v>15</v>
      </c>
      <c r="P8" s="12" t="s">
        <v>197</v>
      </c>
      <c r="Q8" s="13">
        <v>1</v>
      </c>
      <c r="R8" s="13">
        <v>-759</v>
      </c>
      <c r="S8" s="14">
        <v>44693</v>
      </c>
      <c r="T8" s="13" t="s">
        <v>202</v>
      </c>
      <c r="U8" s="13">
        <v>7230</v>
      </c>
      <c r="V8" s="15" t="s">
        <v>19</v>
      </c>
      <c r="W8" s="13" t="s">
        <v>230</v>
      </c>
    </row>
    <row r="9" spans="1:23" x14ac:dyDescent="0.2">
      <c r="A9" s="12" t="s">
        <v>210</v>
      </c>
      <c r="B9" s="3">
        <v>474563184</v>
      </c>
      <c r="C9" s="4">
        <v>44683</v>
      </c>
      <c r="D9" s="3" t="s">
        <v>70</v>
      </c>
      <c r="E9" s="3" t="s">
        <v>120</v>
      </c>
      <c r="F9" s="3" t="str">
        <f>D9&amp;"@empresa.com"</f>
        <v>exec_35@empresa.com</v>
      </c>
      <c r="G9" s="3" t="s">
        <v>143</v>
      </c>
      <c r="H9" s="3" t="str">
        <f>"super_"&amp;RIGHT(G9,1)&amp;"@empresa.com"</f>
        <v>super_9@empresa.com</v>
      </c>
      <c r="I9" s="3" t="s">
        <v>148</v>
      </c>
      <c r="J9" s="3" t="str">
        <f>"coord_"&amp;RIGHT(I9,1)&amp;"@empresa.com"</f>
        <v>coord_1@empresa.com</v>
      </c>
      <c r="K9" s="3" t="s">
        <v>149</v>
      </c>
      <c r="L9" s="3" t="str">
        <f t="shared" si="0"/>
        <v>ger_1@empresa.com</v>
      </c>
      <c r="M9" s="3" t="s">
        <v>151</v>
      </c>
      <c r="N9" s="3" t="s">
        <v>158</v>
      </c>
      <c r="O9" s="3" t="s">
        <v>15</v>
      </c>
      <c r="P9" s="3" t="s">
        <v>198</v>
      </c>
      <c r="Q9" s="13">
        <v>1</v>
      </c>
      <c r="R9" s="13">
        <v>-868</v>
      </c>
      <c r="S9" s="14">
        <v>44684</v>
      </c>
      <c r="T9" s="13" t="s">
        <v>202</v>
      </c>
      <c r="U9" s="13">
        <v>5947</v>
      </c>
      <c r="V9" s="15" t="s">
        <v>17</v>
      </c>
      <c r="W9" s="13" t="s">
        <v>235</v>
      </c>
    </row>
    <row r="10" spans="1:23" x14ac:dyDescent="0.2">
      <c r="A10" s="12" t="s">
        <v>211</v>
      </c>
      <c r="B10" s="3">
        <v>281451931</v>
      </c>
      <c r="C10" s="4">
        <v>44686</v>
      </c>
      <c r="D10" s="3" t="s">
        <v>71</v>
      </c>
      <c r="E10" s="3" t="s">
        <v>121</v>
      </c>
      <c r="F10" s="3" t="str">
        <f>D10&amp;"@empresa.com"</f>
        <v>exec_36@empresa.com</v>
      </c>
      <c r="G10" s="3" t="s">
        <v>139</v>
      </c>
      <c r="H10" s="3" t="str">
        <f>"super_"&amp;RIGHT(G10,1)&amp;"@empresa.com"</f>
        <v>super_4@empresa.com</v>
      </c>
      <c r="I10" s="3" t="s">
        <v>148</v>
      </c>
      <c r="J10" s="3" t="str">
        <f>"coord_"&amp;RIGHT(I10,1)&amp;"@empresa.com"</f>
        <v>coord_1@empresa.com</v>
      </c>
      <c r="K10" s="3" t="s">
        <v>149</v>
      </c>
      <c r="L10" s="3" t="str">
        <f t="shared" si="0"/>
        <v>ger_1@empresa.com</v>
      </c>
      <c r="M10" s="3" t="s">
        <v>151</v>
      </c>
      <c r="N10" s="3" t="s">
        <v>159</v>
      </c>
      <c r="O10" s="3" t="s">
        <v>15</v>
      </c>
      <c r="P10" s="3" t="s">
        <v>199</v>
      </c>
      <c r="Q10" s="13">
        <v>1</v>
      </c>
      <c r="R10" s="13">
        <v>-647</v>
      </c>
      <c r="S10" s="14">
        <v>44686</v>
      </c>
      <c r="T10" s="13" t="s">
        <v>202</v>
      </c>
      <c r="U10" s="13">
        <v>5812</v>
      </c>
      <c r="V10" s="15" t="s">
        <v>22</v>
      </c>
      <c r="W10" s="13" t="s">
        <v>236</v>
      </c>
    </row>
    <row r="11" spans="1:23" x14ac:dyDescent="0.2">
      <c r="A11" s="12" t="s">
        <v>212</v>
      </c>
      <c r="B11" s="3">
        <v>380677416</v>
      </c>
      <c r="C11" s="4">
        <v>44694</v>
      </c>
      <c r="D11" s="3" t="s">
        <v>73</v>
      </c>
      <c r="E11" s="3" t="s">
        <v>123</v>
      </c>
      <c r="F11" s="3" t="str">
        <f>D11&amp;"@empresa.com"</f>
        <v>exec_38@empresa.com</v>
      </c>
      <c r="G11" s="3" t="s">
        <v>143</v>
      </c>
      <c r="H11" s="3" t="str">
        <f>"super_"&amp;RIGHT(G11,1)&amp;"@empresa.com"</f>
        <v>super_9@empresa.com</v>
      </c>
      <c r="I11" s="3" t="s">
        <v>148</v>
      </c>
      <c r="J11" s="3" t="str">
        <f>"coord_"&amp;RIGHT(I11,1)&amp;"@empresa.com"</f>
        <v>coord_1@empresa.com</v>
      </c>
      <c r="K11" s="3" t="s">
        <v>149</v>
      </c>
      <c r="L11" s="3" t="str">
        <f t="shared" si="0"/>
        <v>ger_1@empresa.com</v>
      </c>
      <c r="M11" s="3" t="s">
        <v>151</v>
      </c>
      <c r="N11" s="3" t="s">
        <v>160</v>
      </c>
      <c r="O11" s="3" t="s">
        <v>15</v>
      </c>
      <c r="P11" s="12" t="s">
        <v>197</v>
      </c>
      <c r="Q11" s="13">
        <v>1</v>
      </c>
      <c r="R11" s="13">
        <v>-210</v>
      </c>
      <c r="S11" s="14">
        <v>44693</v>
      </c>
      <c r="T11" s="13" t="s">
        <v>202</v>
      </c>
      <c r="U11" s="13">
        <v>5199</v>
      </c>
      <c r="V11" s="15" t="s">
        <v>18</v>
      </c>
      <c r="W11" s="13" t="s">
        <v>237</v>
      </c>
    </row>
    <row r="12" spans="1:23" x14ac:dyDescent="0.2">
      <c r="A12" s="12" t="s">
        <v>213</v>
      </c>
      <c r="B12" s="3">
        <v>355124495</v>
      </c>
      <c r="C12" s="4">
        <v>44651</v>
      </c>
      <c r="D12" s="3" t="s">
        <v>77</v>
      </c>
      <c r="E12" s="3" t="s">
        <v>127</v>
      </c>
      <c r="F12" s="3" t="str">
        <f>D12&amp;"@empresa.com"</f>
        <v>exec_42@empresa.com</v>
      </c>
      <c r="G12" s="3" t="s">
        <v>143</v>
      </c>
      <c r="H12" s="3" t="str">
        <f>"super_"&amp;RIGHT(G12,1)&amp;"@empresa.com"</f>
        <v>super_9@empresa.com</v>
      </c>
      <c r="I12" s="3" t="s">
        <v>148</v>
      </c>
      <c r="J12" s="3" t="str">
        <f>"coord_"&amp;RIGHT(I12,1)&amp;"@empresa.com"</f>
        <v>coord_1@empresa.com</v>
      </c>
      <c r="K12" s="3" t="s">
        <v>149</v>
      </c>
      <c r="L12" s="3" t="str">
        <f t="shared" si="0"/>
        <v>ger_1@empresa.com</v>
      </c>
      <c r="M12" s="3" t="s">
        <v>151</v>
      </c>
      <c r="N12" s="3" t="s">
        <v>161</v>
      </c>
      <c r="O12" s="3" t="s">
        <v>15</v>
      </c>
      <c r="P12" s="3" t="s">
        <v>198</v>
      </c>
      <c r="Q12" s="13">
        <v>1</v>
      </c>
      <c r="R12" s="13">
        <v>-638</v>
      </c>
      <c r="S12" s="14">
        <v>44651</v>
      </c>
      <c r="T12" s="13" t="s">
        <v>202</v>
      </c>
      <c r="U12" s="13">
        <v>5812</v>
      </c>
      <c r="V12" s="15" t="s">
        <v>21</v>
      </c>
      <c r="W12" s="13" t="s">
        <v>238</v>
      </c>
    </row>
    <row r="13" spans="1:23" x14ac:dyDescent="0.2">
      <c r="A13" s="12" t="s">
        <v>211</v>
      </c>
      <c r="B13" s="3">
        <v>215733304</v>
      </c>
      <c r="C13" s="4">
        <v>44692</v>
      </c>
      <c r="D13" s="3" t="s">
        <v>81</v>
      </c>
      <c r="E13" s="3" t="s">
        <v>131</v>
      </c>
      <c r="F13" s="3" t="str">
        <f>D13&amp;"@empresa.com"</f>
        <v>exec_46@empresa.com</v>
      </c>
      <c r="G13" s="3" t="s">
        <v>139</v>
      </c>
      <c r="H13" s="3" t="str">
        <f>"super_"&amp;RIGHT(G13,1)&amp;"@empresa.com"</f>
        <v>super_4@empresa.com</v>
      </c>
      <c r="I13" s="3" t="s">
        <v>148</v>
      </c>
      <c r="J13" s="3" t="str">
        <f>"coord_"&amp;RIGHT(I13,1)&amp;"@empresa.com"</f>
        <v>coord_1@empresa.com</v>
      </c>
      <c r="K13" s="3" t="s">
        <v>149</v>
      </c>
      <c r="L13" s="3" t="str">
        <f t="shared" si="0"/>
        <v>ger_1@empresa.com</v>
      </c>
      <c r="M13" s="3" t="s">
        <v>151</v>
      </c>
      <c r="N13" s="3" t="s">
        <v>162</v>
      </c>
      <c r="O13" s="3" t="s">
        <v>15</v>
      </c>
      <c r="P13" s="3" t="s">
        <v>199</v>
      </c>
      <c r="Q13" s="13">
        <v>1</v>
      </c>
      <c r="R13" s="13">
        <v>-644</v>
      </c>
      <c r="S13" s="14">
        <v>44649</v>
      </c>
      <c r="T13" s="13" t="s">
        <v>202</v>
      </c>
      <c r="U13" s="13">
        <v>5651</v>
      </c>
      <c r="V13" s="15" t="s">
        <v>23</v>
      </c>
      <c r="W13" s="13" t="s">
        <v>239</v>
      </c>
    </row>
    <row r="14" spans="1:23" x14ac:dyDescent="0.2">
      <c r="A14" s="12" t="s">
        <v>214</v>
      </c>
      <c r="B14" s="3">
        <v>757993578</v>
      </c>
      <c r="C14" s="4">
        <v>44537</v>
      </c>
      <c r="D14" s="3" t="s">
        <v>36</v>
      </c>
      <c r="E14" s="3" t="s">
        <v>86</v>
      </c>
      <c r="F14" s="3" t="str">
        <f>D14&amp;"@empresa.com"</f>
        <v>exec_1@empresa.com</v>
      </c>
      <c r="G14" s="3" t="s">
        <v>137</v>
      </c>
      <c r="H14" s="3" t="str">
        <f>"super_"&amp;RIGHT(G14,1)&amp;"@empresa.com"</f>
        <v>super_2@empresa.com</v>
      </c>
      <c r="I14" s="3" t="s">
        <v>145</v>
      </c>
      <c r="J14" s="3" t="str">
        <f>"coord_"&amp;RIGHT(I14,1)&amp;"@empresa.com"</f>
        <v>coord_2@empresa.com</v>
      </c>
      <c r="K14" s="3" t="s">
        <v>149</v>
      </c>
      <c r="L14" s="3" t="str">
        <f t="shared" si="0"/>
        <v>ger_1@empresa.com</v>
      </c>
      <c r="M14" s="3" t="s">
        <v>151</v>
      </c>
      <c r="N14" s="3" t="s">
        <v>152</v>
      </c>
      <c r="O14" s="3" t="s">
        <v>15</v>
      </c>
      <c r="P14" s="12" t="s">
        <v>197</v>
      </c>
      <c r="Q14" s="13">
        <v>1</v>
      </c>
      <c r="R14" s="13">
        <v>-424</v>
      </c>
      <c r="S14" s="14">
        <v>44537</v>
      </c>
      <c r="T14" s="13" t="s">
        <v>202</v>
      </c>
      <c r="U14" s="13">
        <v>5541</v>
      </c>
      <c r="V14" s="15" t="s">
        <v>16</v>
      </c>
      <c r="W14" s="13" t="s">
        <v>240</v>
      </c>
    </row>
    <row r="15" spans="1:23" x14ac:dyDescent="0.2">
      <c r="A15" s="12" t="s">
        <v>215</v>
      </c>
      <c r="B15" s="3">
        <v>436979460</v>
      </c>
      <c r="C15" s="4">
        <v>44629</v>
      </c>
      <c r="D15" s="3" t="s">
        <v>39</v>
      </c>
      <c r="E15" s="3" t="s">
        <v>89</v>
      </c>
      <c r="F15" s="3" t="str">
        <f>D15&amp;"@empresa.com"</f>
        <v>exec_4@empresa.com</v>
      </c>
      <c r="G15" s="3" t="s">
        <v>136</v>
      </c>
      <c r="H15" s="3" t="str">
        <f>"super_"&amp;RIGHT(G15,1)&amp;"@empresa.com"</f>
        <v>super_1@empresa.com</v>
      </c>
      <c r="I15" s="3" t="s">
        <v>145</v>
      </c>
      <c r="J15" s="3" t="str">
        <f>"coord_"&amp;RIGHT(I15,1)&amp;"@empresa.com"</f>
        <v>coord_2@empresa.com</v>
      </c>
      <c r="K15" s="3" t="s">
        <v>149</v>
      </c>
      <c r="L15" s="3" t="str">
        <f t="shared" si="0"/>
        <v>ger_1@empresa.com</v>
      </c>
      <c r="M15" s="3" t="s">
        <v>151</v>
      </c>
      <c r="N15" s="3" t="s">
        <v>163</v>
      </c>
      <c r="O15" s="3" t="s">
        <v>15</v>
      </c>
      <c r="P15" s="3" t="s">
        <v>198</v>
      </c>
      <c r="Q15" s="13">
        <v>1</v>
      </c>
      <c r="R15" s="13">
        <v>-182</v>
      </c>
      <c r="S15" s="14">
        <v>44631</v>
      </c>
      <c r="T15" s="13" t="s">
        <v>202</v>
      </c>
      <c r="U15" s="13">
        <v>5541</v>
      </c>
      <c r="V15" s="15" t="s">
        <v>16</v>
      </c>
      <c r="W15" s="13" t="s">
        <v>241</v>
      </c>
    </row>
    <row r="16" spans="1:23" x14ac:dyDescent="0.2">
      <c r="A16" s="12" t="s">
        <v>204</v>
      </c>
      <c r="B16" s="3">
        <v>432783089</v>
      </c>
      <c r="C16" s="4">
        <v>44652</v>
      </c>
      <c r="D16" s="3" t="s">
        <v>41</v>
      </c>
      <c r="E16" s="3" t="s">
        <v>91</v>
      </c>
      <c r="F16" s="3" t="str">
        <f>D16&amp;"@empresa.com"</f>
        <v>exec_6@empresa.com</v>
      </c>
      <c r="G16" s="3" t="s">
        <v>142</v>
      </c>
      <c r="H16" s="3" t="str">
        <f>"super_"&amp;RIGHT(G16,1)&amp;"@empresa.com"</f>
        <v>super_6@empresa.com</v>
      </c>
      <c r="I16" s="3" t="s">
        <v>145</v>
      </c>
      <c r="J16" s="3" t="str">
        <f>"coord_"&amp;RIGHT(I16,1)&amp;"@empresa.com"</f>
        <v>coord_2@empresa.com</v>
      </c>
      <c r="K16" s="3" t="s">
        <v>149</v>
      </c>
      <c r="L16" s="3" t="str">
        <f t="shared" si="0"/>
        <v>ger_1@empresa.com</v>
      </c>
      <c r="M16" s="3" t="s">
        <v>151</v>
      </c>
      <c r="N16" s="3" t="s">
        <v>164</v>
      </c>
      <c r="O16" s="3" t="s">
        <v>15</v>
      </c>
      <c r="P16" s="3" t="s">
        <v>199</v>
      </c>
      <c r="Q16" s="13">
        <v>1</v>
      </c>
      <c r="R16" s="13">
        <v>-405</v>
      </c>
      <c r="S16" s="14">
        <v>44652</v>
      </c>
      <c r="T16" s="13" t="s">
        <v>202</v>
      </c>
      <c r="U16" s="13">
        <v>5999</v>
      </c>
      <c r="V16" s="15" t="s">
        <v>20</v>
      </c>
      <c r="W16" s="13" t="s">
        <v>242</v>
      </c>
    </row>
    <row r="17" spans="1:23" x14ac:dyDescent="0.2">
      <c r="A17" s="12" t="s">
        <v>216</v>
      </c>
      <c r="B17" s="3">
        <v>265567439</v>
      </c>
      <c r="C17" s="4">
        <v>44669</v>
      </c>
      <c r="D17" s="3" t="s">
        <v>42</v>
      </c>
      <c r="E17" s="3" t="s">
        <v>92</v>
      </c>
      <c r="F17" s="3" t="str">
        <f>D17&amp;"@empresa.com"</f>
        <v>exec_7@empresa.com</v>
      </c>
      <c r="G17" s="3" t="s">
        <v>137</v>
      </c>
      <c r="H17" s="3" t="str">
        <f>"super_"&amp;RIGHT(G17,1)&amp;"@empresa.com"</f>
        <v>super_2@empresa.com</v>
      </c>
      <c r="I17" s="3" t="s">
        <v>145</v>
      </c>
      <c r="J17" s="3" t="str">
        <f>"coord_"&amp;RIGHT(I17,1)&amp;"@empresa.com"</f>
        <v>coord_2@empresa.com</v>
      </c>
      <c r="K17" s="3" t="s">
        <v>149</v>
      </c>
      <c r="L17" s="3" t="str">
        <f t="shared" si="0"/>
        <v>ger_1@empresa.com</v>
      </c>
      <c r="M17" s="3" t="s">
        <v>151</v>
      </c>
      <c r="N17" s="3" t="s">
        <v>164</v>
      </c>
      <c r="O17" s="3" t="s">
        <v>15</v>
      </c>
      <c r="P17" s="12" t="s">
        <v>197</v>
      </c>
      <c r="Q17" s="13">
        <v>1</v>
      </c>
      <c r="R17" s="13">
        <v>-829</v>
      </c>
      <c r="S17" s="14">
        <v>44669</v>
      </c>
      <c r="T17" s="13" t="s">
        <v>202</v>
      </c>
      <c r="U17" s="13">
        <v>5999</v>
      </c>
      <c r="V17" s="15" t="s">
        <v>20</v>
      </c>
      <c r="W17" s="13" t="s">
        <v>243</v>
      </c>
    </row>
    <row r="18" spans="1:23" x14ac:dyDescent="0.2">
      <c r="A18" s="12" t="s">
        <v>217</v>
      </c>
      <c r="B18" s="3">
        <v>217444291</v>
      </c>
      <c r="C18" s="4">
        <v>44684</v>
      </c>
      <c r="D18" s="3" t="s">
        <v>43</v>
      </c>
      <c r="E18" s="3" t="s">
        <v>93</v>
      </c>
      <c r="F18" s="3" t="str">
        <f>D18&amp;"@empresa.com"</f>
        <v>exec_8@empresa.com</v>
      </c>
      <c r="G18" s="3" t="s">
        <v>136</v>
      </c>
      <c r="H18" s="3" t="str">
        <f>"super_"&amp;RIGHT(G18,1)&amp;"@empresa.com"</f>
        <v>super_1@empresa.com</v>
      </c>
      <c r="I18" s="3" t="s">
        <v>145</v>
      </c>
      <c r="J18" s="3" t="str">
        <f>"coord_"&amp;RIGHT(I18,1)&amp;"@empresa.com"</f>
        <v>coord_2@empresa.com</v>
      </c>
      <c r="K18" s="3" t="s">
        <v>149</v>
      </c>
      <c r="L18" s="3" t="str">
        <f t="shared" si="0"/>
        <v>ger_1@empresa.com</v>
      </c>
      <c r="M18" s="3" t="s">
        <v>151</v>
      </c>
      <c r="N18" s="3" t="s">
        <v>165</v>
      </c>
      <c r="O18" s="3" t="s">
        <v>15</v>
      </c>
      <c r="P18" s="3" t="s">
        <v>198</v>
      </c>
      <c r="Q18" s="13">
        <v>1</v>
      </c>
      <c r="R18" s="13">
        <v>-533</v>
      </c>
      <c r="S18" s="14">
        <v>44684</v>
      </c>
      <c r="T18" s="13" t="s">
        <v>202</v>
      </c>
      <c r="U18" s="13">
        <v>5995</v>
      </c>
      <c r="V18" s="15" t="s">
        <v>21</v>
      </c>
      <c r="W18" s="13" t="s">
        <v>244</v>
      </c>
    </row>
    <row r="19" spans="1:23" x14ac:dyDescent="0.2">
      <c r="A19" s="12" t="s">
        <v>209</v>
      </c>
      <c r="B19" s="3">
        <v>257487921</v>
      </c>
      <c r="C19" s="4">
        <v>44732</v>
      </c>
      <c r="D19" s="3" t="s">
        <v>49</v>
      </c>
      <c r="E19" s="3" t="s">
        <v>99</v>
      </c>
      <c r="F19" s="3" t="str">
        <f>D19&amp;"@empresa.com"</f>
        <v>exec_14@empresa.com</v>
      </c>
      <c r="G19" s="3" t="s">
        <v>137</v>
      </c>
      <c r="H19" s="3" t="str">
        <f>"super_"&amp;RIGHT(G19,1)&amp;"@empresa.com"</f>
        <v>super_2@empresa.com</v>
      </c>
      <c r="I19" s="3" t="s">
        <v>145</v>
      </c>
      <c r="J19" s="3" t="str">
        <f>"coord_"&amp;RIGHT(I19,1)&amp;"@empresa.com"</f>
        <v>coord_2@empresa.com</v>
      </c>
      <c r="K19" s="3" t="s">
        <v>149</v>
      </c>
      <c r="L19" s="3" t="str">
        <f t="shared" si="0"/>
        <v>ger_1@empresa.com</v>
      </c>
      <c r="M19" s="3" t="s">
        <v>151</v>
      </c>
      <c r="N19" s="3" t="s">
        <v>166</v>
      </c>
      <c r="O19" s="3" t="s">
        <v>15</v>
      </c>
      <c r="P19" s="3" t="s">
        <v>199</v>
      </c>
      <c r="Q19" s="13">
        <v>1</v>
      </c>
      <c r="R19" s="13">
        <v>-263</v>
      </c>
      <c r="S19" s="14">
        <v>44708</v>
      </c>
      <c r="T19" s="13" t="s">
        <v>202</v>
      </c>
      <c r="U19" s="13">
        <v>5931</v>
      </c>
      <c r="V19" s="15" t="s">
        <v>21</v>
      </c>
      <c r="W19" s="13" t="s">
        <v>245</v>
      </c>
    </row>
    <row r="20" spans="1:23" x14ac:dyDescent="0.2">
      <c r="A20" s="12" t="s">
        <v>218</v>
      </c>
      <c r="B20" s="3">
        <v>449279182</v>
      </c>
      <c r="C20" s="4">
        <v>44524</v>
      </c>
      <c r="D20" s="3" t="s">
        <v>50</v>
      </c>
      <c r="E20" s="3" t="s">
        <v>100</v>
      </c>
      <c r="F20" s="3" t="str">
        <f>D20&amp;"@empresa.com"</f>
        <v>exec_15@empresa.com</v>
      </c>
      <c r="G20" s="3" t="s">
        <v>136</v>
      </c>
      <c r="H20" s="3" t="str">
        <f>"super_"&amp;RIGHT(G20,1)&amp;"@empresa.com"</f>
        <v>super_1@empresa.com</v>
      </c>
      <c r="I20" s="3" t="s">
        <v>145</v>
      </c>
      <c r="J20" s="3" t="str">
        <f>"coord_"&amp;RIGHT(I20,1)&amp;"@empresa.com"</f>
        <v>coord_2@empresa.com</v>
      </c>
      <c r="K20" s="3" t="s">
        <v>149</v>
      </c>
      <c r="L20" s="3" t="str">
        <f t="shared" si="0"/>
        <v>ger_1@empresa.com</v>
      </c>
      <c r="M20" s="3" t="s">
        <v>151</v>
      </c>
      <c r="N20" s="3" t="s">
        <v>167</v>
      </c>
      <c r="O20" s="3" t="s">
        <v>15</v>
      </c>
      <c r="P20" s="12" t="s">
        <v>197</v>
      </c>
      <c r="Q20" s="13">
        <v>1</v>
      </c>
      <c r="R20" s="13">
        <v>-977</v>
      </c>
      <c r="S20" s="14">
        <v>44555</v>
      </c>
      <c r="T20" s="13" t="s">
        <v>202</v>
      </c>
      <c r="U20" s="13">
        <v>5812</v>
      </c>
      <c r="V20" s="15" t="s">
        <v>21</v>
      </c>
      <c r="W20" s="13" t="s">
        <v>246</v>
      </c>
    </row>
    <row r="21" spans="1:23" x14ac:dyDescent="0.2">
      <c r="A21" s="12" t="s">
        <v>215</v>
      </c>
      <c r="B21" s="3">
        <v>302082143</v>
      </c>
      <c r="C21" s="4">
        <v>44652</v>
      </c>
      <c r="D21" s="3" t="s">
        <v>53</v>
      </c>
      <c r="E21" s="3" t="s">
        <v>103</v>
      </c>
      <c r="F21" s="3" t="str">
        <f>D21&amp;"@empresa.com"</f>
        <v>exec_18@empresa.com</v>
      </c>
      <c r="G21" s="3" t="s">
        <v>136</v>
      </c>
      <c r="H21" s="3" t="str">
        <f>"super_"&amp;RIGHT(G21,1)&amp;"@empresa.com"</f>
        <v>super_1@empresa.com</v>
      </c>
      <c r="I21" s="3" t="s">
        <v>145</v>
      </c>
      <c r="J21" s="3" t="str">
        <f>"coord_"&amp;RIGHT(I21,1)&amp;"@empresa.com"</f>
        <v>coord_2@empresa.com</v>
      </c>
      <c r="K21" s="3" t="s">
        <v>149</v>
      </c>
      <c r="L21" s="3" t="str">
        <f t="shared" si="0"/>
        <v>ger_1@empresa.com</v>
      </c>
      <c r="M21" s="3" t="s">
        <v>151</v>
      </c>
      <c r="N21" s="3" t="s">
        <v>168</v>
      </c>
      <c r="O21" s="3" t="s">
        <v>15</v>
      </c>
      <c r="P21" s="3" t="s">
        <v>198</v>
      </c>
      <c r="Q21" s="13">
        <v>1</v>
      </c>
      <c r="R21" s="13">
        <v>-653</v>
      </c>
      <c r="S21" s="14">
        <v>44652</v>
      </c>
      <c r="T21" s="13" t="s">
        <v>202</v>
      </c>
      <c r="U21" s="13">
        <v>5814</v>
      </c>
      <c r="V21" s="15" t="s">
        <v>19</v>
      </c>
      <c r="W21" s="13" t="s">
        <v>247</v>
      </c>
    </row>
    <row r="22" spans="1:23" x14ac:dyDescent="0.2">
      <c r="A22" s="12" t="s">
        <v>219</v>
      </c>
      <c r="B22" s="3">
        <v>599107732</v>
      </c>
      <c r="C22" s="4">
        <v>44665</v>
      </c>
      <c r="D22" s="3" t="s">
        <v>55</v>
      </c>
      <c r="E22" s="3" t="s">
        <v>105</v>
      </c>
      <c r="F22" s="3" t="str">
        <f>D22&amp;"@empresa.com"</f>
        <v>exec_20@empresa.com</v>
      </c>
      <c r="G22" s="3" t="s">
        <v>142</v>
      </c>
      <c r="H22" s="3" t="str">
        <f>"super_"&amp;RIGHT(G22,1)&amp;"@empresa.com"</f>
        <v>super_6@empresa.com</v>
      </c>
      <c r="I22" s="3" t="s">
        <v>145</v>
      </c>
      <c r="J22" s="3" t="str">
        <f>"coord_"&amp;RIGHT(I22,1)&amp;"@empresa.com"</f>
        <v>coord_2@empresa.com</v>
      </c>
      <c r="K22" s="3" t="s">
        <v>149</v>
      </c>
      <c r="L22" s="3" t="str">
        <f t="shared" si="0"/>
        <v>ger_1@empresa.com</v>
      </c>
      <c r="M22" s="3" t="s">
        <v>151</v>
      </c>
      <c r="N22" s="3" t="s">
        <v>169</v>
      </c>
      <c r="O22" s="3" t="s">
        <v>15</v>
      </c>
      <c r="P22" s="3" t="s">
        <v>199</v>
      </c>
      <c r="Q22" s="13">
        <v>1</v>
      </c>
      <c r="R22" s="13">
        <v>-378</v>
      </c>
      <c r="S22" s="14">
        <v>44665</v>
      </c>
      <c r="T22" s="13" t="s">
        <v>202</v>
      </c>
      <c r="U22" s="13">
        <v>7538</v>
      </c>
      <c r="V22" s="15" t="s">
        <v>22</v>
      </c>
      <c r="W22" s="13" t="s">
        <v>248</v>
      </c>
    </row>
    <row r="23" spans="1:23" x14ac:dyDescent="0.2">
      <c r="A23" s="12" t="s">
        <v>220</v>
      </c>
      <c r="B23" s="3">
        <v>813268540</v>
      </c>
      <c r="C23" s="4">
        <v>44695</v>
      </c>
      <c r="D23" s="3" t="s">
        <v>63</v>
      </c>
      <c r="E23" s="3" t="s">
        <v>113</v>
      </c>
      <c r="F23" s="3" t="str">
        <f>D23&amp;"@empresa.com"</f>
        <v>exec_28@empresa.com</v>
      </c>
      <c r="G23" s="3" t="s">
        <v>136</v>
      </c>
      <c r="H23" s="3" t="str">
        <f>"super_"&amp;RIGHT(G23,1)&amp;"@empresa.com"</f>
        <v>super_1@empresa.com</v>
      </c>
      <c r="I23" s="3" t="s">
        <v>145</v>
      </c>
      <c r="J23" s="3" t="str">
        <f>"coord_"&amp;RIGHT(I23,1)&amp;"@empresa.com"</f>
        <v>coord_2@empresa.com</v>
      </c>
      <c r="K23" s="3" t="s">
        <v>149</v>
      </c>
      <c r="L23" s="3" t="str">
        <f t="shared" si="0"/>
        <v>ger_1@empresa.com</v>
      </c>
      <c r="M23" s="3" t="s">
        <v>151</v>
      </c>
      <c r="N23" s="3" t="s">
        <v>170</v>
      </c>
      <c r="O23" s="3" t="s">
        <v>15</v>
      </c>
      <c r="P23" s="12" t="s">
        <v>197</v>
      </c>
      <c r="Q23" s="13">
        <v>1</v>
      </c>
      <c r="R23" s="13">
        <v>-477</v>
      </c>
      <c r="S23" s="14">
        <v>44694</v>
      </c>
      <c r="T23" s="13" t="s">
        <v>202</v>
      </c>
      <c r="U23" s="13">
        <v>5732</v>
      </c>
      <c r="V23" s="15" t="s">
        <v>21</v>
      </c>
      <c r="W23" s="13" t="s">
        <v>242</v>
      </c>
    </row>
    <row r="24" spans="1:23" x14ac:dyDescent="0.2">
      <c r="A24" s="12" t="s">
        <v>216</v>
      </c>
      <c r="B24" s="3">
        <v>290972731</v>
      </c>
      <c r="C24" s="4">
        <v>44720</v>
      </c>
      <c r="D24" s="3" t="s">
        <v>65</v>
      </c>
      <c r="E24" s="3" t="s">
        <v>115</v>
      </c>
      <c r="F24" s="3" t="str">
        <f>D24&amp;"@empresa.com"</f>
        <v>exec_30@empresa.com</v>
      </c>
      <c r="G24" s="3" t="s">
        <v>142</v>
      </c>
      <c r="H24" s="3" t="str">
        <f>"super_"&amp;RIGHT(G24,1)&amp;"@empresa.com"</f>
        <v>super_6@empresa.com</v>
      </c>
      <c r="I24" s="3" t="s">
        <v>145</v>
      </c>
      <c r="J24" s="3" t="str">
        <f>"coord_"&amp;RIGHT(I24,1)&amp;"@empresa.com"</f>
        <v>coord_2@empresa.com</v>
      </c>
      <c r="K24" s="3" t="s">
        <v>149</v>
      </c>
      <c r="L24" s="3" t="str">
        <f t="shared" si="0"/>
        <v>ger_1@empresa.com</v>
      </c>
      <c r="M24" s="3" t="s">
        <v>151</v>
      </c>
      <c r="N24" s="3" t="s">
        <v>168</v>
      </c>
      <c r="O24" s="3" t="s">
        <v>15</v>
      </c>
      <c r="P24" s="3" t="s">
        <v>198</v>
      </c>
      <c r="Q24" s="13">
        <v>1</v>
      </c>
      <c r="R24" s="13">
        <v>-630</v>
      </c>
      <c r="S24" s="14">
        <v>44130</v>
      </c>
      <c r="T24" s="13" t="s">
        <v>202</v>
      </c>
      <c r="U24" s="13">
        <v>5200</v>
      </c>
      <c r="V24" s="15" t="s">
        <v>21</v>
      </c>
      <c r="W24" s="13" t="s">
        <v>234</v>
      </c>
    </row>
    <row r="25" spans="1:23" x14ac:dyDescent="0.2">
      <c r="A25" s="12" t="s">
        <v>210</v>
      </c>
      <c r="B25" s="3">
        <v>489531638</v>
      </c>
      <c r="C25" s="4">
        <v>44722</v>
      </c>
      <c r="D25" s="3" t="s">
        <v>66</v>
      </c>
      <c r="E25" s="3" t="s">
        <v>116</v>
      </c>
      <c r="F25" s="3" t="str">
        <f>D25&amp;"@empresa.com"</f>
        <v>exec_31@empresa.com</v>
      </c>
      <c r="G25" s="3" t="s">
        <v>137</v>
      </c>
      <c r="H25" s="3" t="str">
        <f>"super_"&amp;RIGHT(G25,1)&amp;"@empresa.com"</f>
        <v>super_2@empresa.com</v>
      </c>
      <c r="I25" s="3" t="s">
        <v>145</v>
      </c>
      <c r="J25" s="3" t="str">
        <f>"coord_"&amp;RIGHT(I25,1)&amp;"@empresa.com"</f>
        <v>coord_2@empresa.com</v>
      </c>
      <c r="K25" s="3" t="s">
        <v>149</v>
      </c>
      <c r="L25" s="3" t="str">
        <f t="shared" si="0"/>
        <v>ger_1@empresa.com</v>
      </c>
      <c r="M25" s="3" t="s">
        <v>151</v>
      </c>
      <c r="N25" s="3" t="s">
        <v>171</v>
      </c>
      <c r="O25" s="3" t="s">
        <v>15</v>
      </c>
      <c r="P25" s="3" t="s">
        <v>199</v>
      </c>
      <c r="Q25" s="13">
        <v>1</v>
      </c>
      <c r="R25" s="13">
        <v>-759</v>
      </c>
      <c r="S25" s="14">
        <v>44271</v>
      </c>
      <c r="T25" s="13" t="s">
        <v>202</v>
      </c>
      <c r="U25" s="13">
        <v>7230</v>
      </c>
      <c r="V25" s="15" t="s">
        <v>21</v>
      </c>
      <c r="W25" s="13" t="s">
        <v>249</v>
      </c>
    </row>
    <row r="26" spans="1:23" x14ac:dyDescent="0.2">
      <c r="A26" s="12" t="s">
        <v>215</v>
      </c>
      <c r="B26" s="3">
        <v>853826611</v>
      </c>
      <c r="C26" s="4">
        <v>44474</v>
      </c>
      <c r="D26" s="3" t="s">
        <v>68</v>
      </c>
      <c r="E26" s="3" t="s">
        <v>118</v>
      </c>
      <c r="F26" s="3" t="str">
        <f>D26&amp;"@empresa.com"</f>
        <v>exec_33@empresa.com</v>
      </c>
      <c r="G26" s="3" t="s">
        <v>137</v>
      </c>
      <c r="H26" s="3" t="str">
        <f>"super_"&amp;RIGHT(G26,1)&amp;"@empresa.com"</f>
        <v>super_2@empresa.com</v>
      </c>
      <c r="I26" s="3" t="s">
        <v>145</v>
      </c>
      <c r="J26" s="3" t="str">
        <f>"coord_"&amp;RIGHT(I26,1)&amp;"@empresa.com"</f>
        <v>coord_2@empresa.com</v>
      </c>
      <c r="K26" s="3" t="s">
        <v>149</v>
      </c>
      <c r="L26" s="3" t="str">
        <f t="shared" si="0"/>
        <v>ger_1@empresa.com</v>
      </c>
      <c r="M26" s="3" t="s">
        <v>151</v>
      </c>
      <c r="N26" s="3" t="s">
        <v>172</v>
      </c>
      <c r="O26" s="3" t="s">
        <v>15</v>
      </c>
      <c r="P26" s="12" t="s">
        <v>197</v>
      </c>
      <c r="Q26" s="13">
        <v>1</v>
      </c>
      <c r="R26" s="13">
        <v>-742</v>
      </c>
      <c r="S26" s="14">
        <v>44474</v>
      </c>
      <c r="T26" s="13" t="s">
        <v>202</v>
      </c>
      <c r="U26" s="13">
        <v>7298</v>
      </c>
      <c r="V26" s="15" t="s">
        <v>21</v>
      </c>
      <c r="W26" s="13" t="s">
        <v>239</v>
      </c>
    </row>
    <row r="27" spans="1:23" x14ac:dyDescent="0.2">
      <c r="A27" s="12" t="s">
        <v>221</v>
      </c>
      <c r="B27" s="3">
        <v>548971968</v>
      </c>
      <c r="C27" s="4">
        <v>44658</v>
      </c>
      <c r="D27" s="3" t="s">
        <v>69</v>
      </c>
      <c r="E27" s="3" t="s">
        <v>119</v>
      </c>
      <c r="F27" s="3" t="str">
        <f>D27&amp;"@empresa.com"</f>
        <v>exec_34@empresa.com</v>
      </c>
      <c r="G27" s="3" t="s">
        <v>142</v>
      </c>
      <c r="H27" s="3" t="str">
        <f>"super_"&amp;RIGHT(G27,1)&amp;"@empresa.com"</f>
        <v>super_6@empresa.com</v>
      </c>
      <c r="I27" s="3" t="s">
        <v>145</v>
      </c>
      <c r="J27" s="3" t="str">
        <f>"coord_"&amp;RIGHT(I27,1)&amp;"@empresa.com"</f>
        <v>coord_2@empresa.com</v>
      </c>
      <c r="K27" s="3" t="s">
        <v>149</v>
      </c>
      <c r="L27" s="3" t="str">
        <f t="shared" si="0"/>
        <v>ger_1@empresa.com</v>
      </c>
      <c r="M27" s="3" t="s">
        <v>151</v>
      </c>
      <c r="N27" s="3" t="s">
        <v>173</v>
      </c>
      <c r="O27" s="3" t="s">
        <v>15</v>
      </c>
      <c r="P27" s="3" t="s">
        <v>198</v>
      </c>
      <c r="Q27" s="13">
        <v>1</v>
      </c>
      <c r="R27" s="13">
        <v>-250</v>
      </c>
      <c r="S27" s="14">
        <v>44658</v>
      </c>
      <c r="T27" s="13" t="s">
        <v>202</v>
      </c>
      <c r="U27" s="13">
        <v>7392</v>
      </c>
      <c r="V27" s="15" t="s">
        <v>21</v>
      </c>
      <c r="W27" s="13" t="s">
        <v>250</v>
      </c>
    </row>
    <row r="28" spans="1:23" x14ac:dyDescent="0.2">
      <c r="A28" s="12" t="s">
        <v>206</v>
      </c>
      <c r="B28" s="3">
        <v>452798945</v>
      </c>
      <c r="C28" s="4">
        <v>44721</v>
      </c>
      <c r="D28" s="3" t="s">
        <v>75</v>
      </c>
      <c r="E28" s="3" t="s">
        <v>125</v>
      </c>
      <c r="F28" s="3" t="str">
        <f>D28&amp;"@empresa.com"</f>
        <v>exec_40@empresa.com</v>
      </c>
      <c r="G28" s="3" t="s">
        <v>137</v>
      </c>
      <c r="H28" s="3" t="str">
        <f>"super_"&amp;RIGHT(G28,1)&amp;"@empresa.com"</f>
        <v>super_2@empresa.com</v>
      </c>
      <c r="I28" s="3" t="s">
        <v>145</v>
      </c>
      <c r="J28" s="3" t="str">
        <f>"coord_"&amp;RIGHT(I28,1)&amp;"@empresa.com"</f>
        <v>coord_2@empresa.com</v>
      </c>
      <c r="K28" s="3" t="s">
        <v>149</v>
      </c>
      <c r="L28" s="3" t="str">
        <f t="shared" si="0"/>
        <v>ger_1@empresa.com</v>
      </c>
      <c r="M28" s="3" t="s">
        <v>151</v>
      </c>
      <c r="N28" s="3" t="s">
        <v>174</v>
      </c>
      <c r="O28" s="3" t="s">
        <v>15</v>
      </c>
      <c r="P28" s="3" t="s">
        <v>199</v>
      </c>
      <c r="Q28" s="13">
        <v>1</v>
      </c>
      <c r="R28" s="13">
        <v>-437</v>
      </c>
      <c r="S28" s="14">
        <v>44700</v>
      </c>
      <c r="T28" s="13" t="s">
        <v>202</v>
      </c>
      <c r="U28" s="13">
        <v>5812</v>
      </c>
      <c r="V28" s="15" t="s">
        <v>19</v>
      </c>
      <c r="W28" s="13" t="s">
        <v>251</v>
      </c>
    </row>
    <row r="29" spans="1:23" x14ac:dyDescent="0.2">
      <c r="A29" s="12" t="s">
        <v>217</v>
      </c>
      <c r="B29" s="3">
        <v>137233777</v>
      </c>
      <c r="C29" s="4">
        <v>44676</v>
      </c>
      <c r="D29" s="3" t="s">
        <v>80</v>
      </c>
      <c r="E29" s="3" t="s">
        <v>130</v>
      </c>
      <c r="F29" s="3" t="str">
        <f>D29&amp;"@empresa.com"</f>
        <v>exec_45@empresa.com</v>
      </c>
      <c r="G29" s="3" t="s">
        <v>142</v>
      </c>
      <c r="H29" s="3" t="str">
        <f>"super_"&amp;RIGHT(G29,1)&amp;"@empresa.com"</f>
        <v>super_6@empresa.com</v>
      </c>
      <c r="I29" s="3" t="s">
        <v>145</v>
      </c>
      <c r="J29" s="3" t="str">
        <f>"coord_"&amp;RIGHT(I29,1)&amp;"@empresa.com"</f>
        <v>coord_2@empresa.com</v>
      </c>
      <c r="K29" s="3" t="s">
        <v>149</v>
      </c>
      <c r="L29" s="3" t="str">
        <f t="shared" si="0"/>
        <v>ger_1@empresa.com</v>
      </c>
      <c r="M29" s="3" t="s">
        <v>151</v>
      </c>
      <c r="N29" s="3" t="s">
        <v>175</v>
      </c>
      <c r="O29" s="3" t="s">
        <v>15</v>
      </c>
      <c r="P29" s="12" t="s">
        <v>197</v>
      </c>
      <c r="Q29" s="13">
        <v>1</v>
      </c>
      <c r="R29" s="13">
        <v>-765</v>
      </c>
      <c r="S29" s="14">
        <v>44677</v>
      </c>
      <c r="T29" s="13" t="s">
        <v>202</v>
      </c>
      <c r="U29" s="13">
        <v>7392</v>
      </c>
      <c r="V29" s="15" t="s">
        <v>16</v>
      </c>
      <c r="W29" s="13" t="s">
        <v>252</v>
      </c>
    </row>
    <row r="30" spans="1:23" x14ac:dyDescent="0.2">
      <c r="A30" s="12" t="s">
        <v>216</v>
      </c>
      <c r="B30" s="3">
        <v>927143972</v>
      </c>
      <c r="C30" s="4">
        <v>44692</v>
      </c>
      <c r="D30" s="3" t="s">
        <v>82</v>
      </c>
      <c r="E30" s="3" t="s">
        <v>132</v>
      </c>
      <c r="F30" s="3" t="str">
        <f>D30&amp;"@empresa.com"</f>
        <v>exec_47@empresa.com</v>
      </c>
      <c r="G30" s="3" t="s">
        <v>142</v>
      </c>
      <c r="H30" s="3" t="str">
        <f>"super_"&amp;RIGHT(G30,1)&amp;"@empresa.com"</f>
        <v>super_6@empresa.com</v>
      </c>
      <c r="I30" s="3" t="s">
        <v>145</v>
      </c>
      <c r="J30" s="3" t="str">
        <f>"coord_"&amp;RIGHT(I30,1)&amp;"@empresa.com"</f>
        <v>coord_2@empresa.com</v>
      </c>
      <c r="K30" s="3" t="s">
        <v>149</v>
      </c>
      <c r="L30" s="3" t="str">
        <f t="shared" si="0"/>
        <v>ger_1@empresa.com</v>
      </c>
      <c r="M30" s="3" t="s">
        <v>151</v>
      </c>
      <c r="N30" s="3" t="s">
        <v>176</v>
      </c>
      <c r="O30" s="3" t="s">
        <v>15</v>
      </c>
      <c r="P30" s="3" t="s">
        <v>198</v>
      </c>
      <c r="Q30" s="13">
        <v>1</v>
      </c>
      <c r="R30" s="13">
        <v>-426</v>
      </c>
      <c r="S30" s="14">
        <v>44692</v>
      </c>
      <c r="T30" s="13" t="s">
        <v>202</v>
      </c>
      <c r="U30" s="13">
        <v>5921</v>
      </c>
      <c r="V30" s="15" t="s">
        <v>21</v>
      </c>
      <c r="W30" s="13" t="s">
        <v>253</v>
      </c>
    </row>
    <row r="31" spans="1:23" x14ac:dyDescent="0.2">
      <c r="A31" s="12" t="s">
        <v>222</v>
      </c>
      <c r="B31" s="3">
        <v>304564227</v>
      </c>
      <c r="C31" s="4">
        <v>44468</v>
      </c>
      <c r="D31" s="3" t="s">
        <v>83</v>
      </c>
      <c r="E31" s="3" t="s">
        <v>133</v>
      </c>
      <c r="F31" s="3" t="str">
        <f>D31&amp;"@empresa.com"</f>
        <v>exec_48@empresa.com</v>
      </c>
      <c r="G31" s="3" t="s">
        <v>142</v>
      </c>
      <c r="H31" s="3" t="str">
        <f>"super_"&amp;RIGHT(G31,1)&amp;"@empresa.com"</f>
        <v>super_6@empresa.com</v>
      </c>
      <c r="I31" s="3" t="s">
        <v>145</v>
      </c>
      <c r="J31" s="3" t="str">
        <f>"coord_"&amp;RIGHT(I31,1)&amp;"@empresa.com"</f>
        <v>coord_2@empresa.com</v>
      </c>
      <c r="K31" s="3" t="s">
        <v>149</v>
      </c>
      <c r="L31" s="3" t="str">
        <f t="shared" si="0"/>
        <v>ger_1@empresa.com</v>
      </c>
      <c r="M31" s="3" t="s">
        <v>151</v>
      </c>
      <c r="N31" s="3" t="s">
        <v>177</v>
      </c>
      <c r="O31" s="3" t="s">
        <v>15</v>
      </c>
      <c r="P31" s="3" t="s">
        <v>199</v>
      </c>
      <c r="Q31" s="13">
        <v>1</v>
      </c>
      <c r="R31" s="13">
        <v>-374</v>
      </c>
      <c r="S31" s="14">
        <v>44468</v>
      </c>
      <c r="T31" s="13" t="s">
        <v>202</v>
      </c>
      <c r="U31" s="13">
        <v>5499</v>
      </c>
      <c r="V31" s="15" t="s">
        <v>21</v>
      </c>
      <c r="W31" s="13" t="s">
        <v>254</v>
      </c>
    </row>
    <row r="32" spans="1:23" x14ac:dyDescent="0.2">
      <c r="A32" s="12" t="s">
        <v>216</v>
      </c>
      <c r="B32" s="3">
        <v>401299083</v>
      </c>
      <c r="C32" s="4">
        <v>44483</v>
      </c>
      <c r="D32" s="3" t="s">
        <v>84</v>
      </c>
      <c r="E32" s="3" t="s">
        <v>134</v>
      </c>
      <c r="F32" s="3" t="str">
        <f>D32&amp;"@empresa.com"</f>
        <v>exec_49@empresa.com</v>
      </c>
      <c r="G32" s="3" t="s">
        <v>137</v>
      </c>
      <c r="H32" s="3" t="str">
        <f>"super_"&amp;RIGHT(G32,1)&amp;"@empresa.com"</f>
        <v>super_2@empresa.com</v>
      </c>
      <c r="I32" s="3" t="s">
        <v>145</v>
      </c>
      <c r="J32" s="3" t="str">
        <f>"coord_"&amp;RIGHT(I32,1)&amp;"@empresa.com"</f>
        <v>coord_2@empresa.com</v>
      </c>
      <c r="K32" s="3" t="s">
        <v>149</v>
      </c>
      <c r="L32" s="3" t="str">
        <f t="shared" si="0"/>
        <v>ger_1@empresa.com</v>
      </c>
      <c r="M32" s="3" t="s">
        <v>151</v>
      </c>
      <c r="N32" s="3" t="s">
        <v>178</v>
      </c>
      <c r="O32" s="3" t="s">
        <v>15</v>
      </c>
      <c r="P32" s="12" t="s">
        <v>197</v>
      </c>
      <c r="Q32" s="13">
        <v>1</v>
      </c>
      <c r="R32" s="13">
        <v>-577</v>
      </c>
      <c r="S32" s="14">
        <v>44482</v>
      </c>
      <c r="T32" s="13" t="s">
        <v>202</v>
      </c>
      <c r="U32" s="13">
        <v>5999</v>
      </c>
      <c r="V32" s="15" t="s">
        <v>23</v>
      </c>
      <c r="W32" s="13" t="s">
        <v>255</v>
      </c>
    </row>
    <row r="33" spans="1:23" x14ac:dyDescent="0.2">
      <c r="A33" s="12" t="s">
        <v>212</v>
      </c>
      <c r="B33" s="3">
        <v>641645971</v>
      </c>
      <c r="C33" s="4">
        <v>44589</v>
      </c>
      <c r="D33" s="3" t="s">
        <v>38</v>
      </c>
      <c r="E33" s="3" t="s">
        <v>88</v>
      </c>
      <c r="F33" s="3" t="str">
        <f>D33&amp;"@empresa.com"</f>
        <v>exec_3@empresa.com</v>
      </c>
      <c r="G33" s="3" t="s">
        <v>141</v>
      </c>
      <c r="H33" s="3" t="str">
        <f>"super_"&amp;RIGHT(G33,1)&amp;"@empresa.com"</f>
        <v>super_8@empresa.com</v>
      </c>
      <c r="I33" s="3" t="s">
        <v>147</v>
      </c>
      <c r="J33" s="3" t="str">
        <f>"coord_"&amp;RIGHT(I33,1)&amp;"@empresa.com"</f>
        <v>coord_3@empresa.com</v>
      </c>
      <c r="K33" s="3" t="s">
        <v>150</v>
      </c>
      <c r="L33" s="3" t="str">
        <f t="shared" si="0"/>
        <v>ger_2@empresa.com</v>
      </c>
      <c r="M33" s="3" t="s">
        <v>151</v>
      </c>
      <c r="N33" s="3" t="s">
        <v>179</v>
      </c>
      <c r="O33" s="3" t="s">
        <v>15</v>
      </c>
      <c r="P33" s="3" t="s">
        <v>198</v>
      </c>
      <c r="Q33" s="13">
        <v>1</v>
      </c>
      <c r="R33" s="13">
        <v>-982</v>
      </c>
      <c r="S33" s="14">
        <v>44589</v>
      </c>
      <c r="T33" s="13" t="s">
        <v>202</v>
      </c>
      <c r="U33" s="13">
        <v>5039</v>
      </c>
      <c r="V33" s="15" t="s">
        <v>18</v>
      </c>
      <c r="W33" s="13" t="s">
        <v>256</v>
      </c>
    </row>
    <row r="34" spans="1:23" x14ac:dyDescent="0.2">
      <c r="A34" s="12" t="s">
        <v>223</v>
      </c>
      <c r="B34" s="3">
        <v>459368666</v>
      </c>
      <c r="C34" s="4">
        <v>44685</v>
      </c>
      <c r="D34" s="3" t="s">
        <v>45</v>
      </c>
      <c r="E34" s="3" t="s">
        <v>95</v>
      </c>
      <c r="F34" s="3" t="str">
        <f>D34&amp;"@empresa.com"</f>
        <v>exec_10@empresa.com</v>
      </c>
      <c r="G34" s="3" t="s">
        <v>141</v>
      </c>
      <c r="H34" s="3" t="str">
        <f>"super_"&amp;RIGHT(G34,1)&amp;"@empresa.com"</f>
        <v>super_8@empresa.com</v>
      </c>
      <c r="I34" s="3" t="s">
        <v>147</v>
      </c>
      <c r="J34" s="3" t="str">
        <f>"coord_"&amp;RIGHT(I34,1)&amp;"@empresa.com"</f>
        <v>coord_3@empresa.com</v>
      </c>
      <c r="K34" s="3" t="s">
        <v>150</v>
      </c>
      <c r="L34" s="3" t="str">
        <f t="shared" si="0"/>
        <v>ger_2@empresa.com</v>
      </c>
      <c r="M34" s="3" t="s">
        <v>151</v>
      </c>
      <c r="N34" s="3" t="s">
        <v>180</v>
      </c>
      <c r="O34" s="3" t="s">
        <v>15</v>
      </c>
      <c r="P34" s="3" t="s">
        <v>199</v>
      </c>
      <c r="Q34" s="13">
        <v>1</v>
      </c>
      <c r="R34" s="13">
        <v>-914</v>
      </c>
      <c r="S34" s="14">
        <v>44685</v>
      </c>
      <c r="T34" s="13" t="s">
        <v>202</v>
      </c>
      <c r="U34" s="13">
        <v>5039</v>
      </c>
      <c r="V34" s="15" t="s">
        <v>16</v>
      </c>
      <c r="W34" s="13" t="s">
        <v>257</v>
      </c>
    </row>
    <row r="35" spans="1:23" x14ac:dyDescent="0.2">
      <c r="A35" s="12" t="s">
        <v>224</v>
      </c>
      <c r="B35" s="3">
        <v>944591117</v>
      </c>
      <c r="C35" s="4">
        <v>44691</v>
      </c>
      <c r="D35" s="3" t="s">
        <v>46</v>
      </c>
      <c r="E35" s="3" t="s">
        <v>96</v>
      </c>
      <c r="F35" s="3" t="str">
        <f>D35&amp;"@empresa.com"</f>
        <v>exec_11@empresa.com</v>
      </c>
      <c r="G35" s="3" t="s">
        <v>144</v>
      </c>
      <c r="H35" s="3" t="str">
        <f>"super_"&amp;RIGHT(G35,1)&amp;"@empresa.com"</f>
        <v>super_7@empresa.com</v>
      </c>
      <c r="I35" s="3" t="s">
        <v>147</v>
      </c>
      <c r="J35" s="3" t="str">
        <f>"coord_"&amp;RIGHT(I35,1)&amp;"@empresa.com"</f>
        <v>coord_3@empresa.com</v>
      </c>
      <c r="K35" s="3" t="s">
        <v>150</v>
      </c>
      <c r="L35" s="3" t="str">
        <f t="shared" si="0"/>
        <v>ger_2@empresa.com</v>
      </c>
      <c r="M35" s="3" t="s">
        <v>151</v>
      </c>
      <c r="N35" s="3" t="s">
        <v>181</v>
      </c>
      <c r="O35" s="3" t="s">
        <v>15</v>
      </c>
      <c r="P35" s="12" t="s">
        <v>197</v>
      </c>
      <c r="Q35" s="13">
        <v>1</v>
      </c>
      <c r="R35" s="13">
        <v>-180</v>
      </c>
      <c r="S35" s="14">
        <v>44705</v>
      </c>
      <c r="T35" s="13" t="s">
        <v>202</v>
      </c>
      <c r="U35" s="13">
        <v>5912</v>
      </c>
      <c r="V35" s="15" t="s">
        <v>16</v>
      </c>
      <c r="W35" s="13" t="s">
        <v>258</v>
      </c>
    </row>
    <row r="36" spans="1:23" x14ac:dyDescent="0.2">
      <c r="A36" s="12" t="s">
        <v>215</v>
      </c>
      <c r="B36" s="3">
        <v>762213296</v>
      </c>
      <c r="C36" s="4">
        <v>44725</v>
      </c>
      <c r="D36" s="3" t="s">
        <v>48</v>
      </c>
      <c r="E36" s="3" t="s">
        <v>98</v>
      </c>
      <c r="F36" s="3" t="str">
        <f>D36&amp;"@empresa.com"</f>
        <v>exec_13@empresa.com</v>
      </c>
      <c r="G36" s="3" t="s">
        <v>144</v>
      </c>
      <c r="H36" s="3" t="str">
        <f>"super_"&amp;RIGHT(G36,1)&amp;"@empresa.com"</f>
        <v>super_7@empresa.com</v>
      </c>
      <c r="I36" s="3" t="s">
        <v>147</v>
      </c>
      <c r="J36" s="3" t="str">
        <f>"coord_"&amp;RIGHT(I36,1)&amp;"@empresa.com"</f>
        <v>coord_3@empresa.com</v>
      </c>
      <c r="K36" s="3" t="s">
        <v>150</v>
      </c>
      <c r="L36" s="3" t="str">
        <f t="shared" si="0"/>
        <v>ger_2@empresa.com</v>
      </c>
      <c r="M36" s="3" t="s">
        <v>151</v>
      </c>
      <c r="N36" s="3" t="s">
        <v>182</v>
      </c>
      <c r="O36" s="3" t="s">
        <v>15</v>
      </c>
      <c r="P36" s="3" t="s">
        <v>198</v>
      </c>
      <c r="Q36" s="13">
        <v>1</v>
      </c>
      <c r="R36" s="13">
        <v>-235</v>
      </c>
      <c r="S36" s="14">
        <v>44712</v>
      </c>
      <c r="T36" s="13" t="s">
        <v>202</v>
      </c>
      <c r="U36" s="13">
        <v>5651</v>
      </c>
      <c r="V36" s="15" t="s">
        <v>21</v>
      </c>
      <c r="W36" s="13" t="s">
        <v>259</v>
      </c>
    </row>
    <row r="37" spans="1:23" x14ac:dyDescent="0.2">
      <c r="A37" s="12" t="s">
        <v>225</v>
      </c>
      <c r="B37" s="3">
        <v>644793507</v>
      </c>
      <c r="C37" s="4">
        <v>44692</v>
      </c>
      <c r="D37" s="3" t="s">
        <v>62</v>
      </c>
      <c r="E37" s="3" t="s">
        <v>112</v>
      </c>
      <c r="F37" s="3" t="str">
        <f>D37&amp;"@empresa.com"</f>
        <v>exec_27@empresa.com</v>
      </c>
      <c r="G37" s="3" t="s">
        <v>144</v>
      </c>
      <c r="H37" s="3" t="str">
        <f>"super_"&amp;RIGHT(G37,1)&amp;"@empresa.com"</f>
        <v>super_7@empresa.com</v>
      </c>
      <c r="I37" s="3" t="s">
        <v>147</v>
      </c>
      <c r="J37" s="3" t="str">
        <f>"coord_"&amp;RIGHT(I37,1)&amp;"@empresa.com"</f>
        <v>coord_3@empresa.com</v>
      </c>
      <c r="K37" s="3" t="s">
        <v>150</v>
      </c>
      <c r="L37" s="3" t="str">
        <f t="shared" si="0"/>
        <v>ger_2@empresa.com</v>
      </c>
      <c r="M37" s="3" t="s">
        <v>151</v>
      </c>
      <c r="N37" s="3" t="s">
        <v>183</v>
      </c>
      <c r="O37" s="3" t="s">
        <v>15</v>
      </c>
      <c r="P37" s="3" t="s">
        <v>199</v>
      </c>
      <c r="Q37" s="13">
        <v>1</v>
      </c>
      <c r="R37" s="13">
        <v>-946</v>
      </c>
      <c r="S37" s="14">
        <v>44692</v>
      </c>
      <c r="T37" s="13" t="s">
        <v>202</v>
      </c>
      <c r="U37" s="13">
        <v>5251</v>
      </c>
      <c r="V37" s="15" t="s">
        <v>21</v>
      </c>
      <c r="W37" s="13" t="s">
        <v>260</v>
      </c>
    </row>
    <row r="38" spans="1:23" x14ac:dyDescent="0.2">
      <c r="A38" s="12" t="s">
        <v>215</v>
      </c>
      <c r="B38" s="3">
        <v>311130734</v>
      </c>
      <c r="C38" s="4">
        <v>44725</v>
      </c>
      <c r="D38" s="3" t="s">
        <v>67</v>
      </c>
      <c r="E38" s="3" t="s">
        <v>117</v>
      </c>
      <c r="F38" s="3" t="str">
        <f>D38&amp;"@empresa.com"</f>
        <v>exec_32@empresa.com</v>
      </c>
      <c r="G38" s="3" t="s">
        <v>141</v>
      </c>
      <c r="H38" s="3" t="str">
        <f>"super_"&amp;RIGHT(G38,1)&amp;"@empresa.com"</f>
        <v>super_8@empresa.com</v>
      </c>
      <c r="I38" s="3" t="s">
        <v>147</v>
      </c>
      <c r="J38" s="3" t="str">
        <f>"coord_"&amp;RIGHT(I38,1)&amp;"@empresa.com"</f>
        <v>coord_3@empresa.com</v>
      </c>
      <c r="K38" s="3" t="s">
        <v>150</v>
      </c>
      <c r="L38" s="3" t="str">
        <f t="shared" si="0"/>
        <v>ger_2@empresa.com</v>
      </c>
      <c r="M38" s="3" t="s">
        <v>151</v>
      </c>
      <c r="N38" s="3" t="s">
        <v>184</v>
      </c>
      <c r="O38" s="3" t="s">
        <v>15</v>
      </c>
      <c r="P38" s="12" t="s">
        <v>197</v>
      </c>
      <c r="Q38" s="13">
        <v>1</v>
      </c>
      <c r="R38" s="13">
        <v>-373</v>
      </c>
      <c r="S38" s="14">
        <v>44657</v>
      </c>
      <c r="T38" s="13" t="s">
        <v>202</v>
      </c>
      <c r="U38" s="13">
        <v>5651</v>
      </c>
      <c r="V38" s="15" t="s">
        <v>21</v>
      </c>
      <c r="W38" s="13" t="s">
        <v>261</v>
      </c>
    </row>
    <row r="39" spans="1:23" x14ac:dyDescent="0.2">
      <c r="A39" s="12" t="s">
        <v>215</v>
      </c>
      <c r="B39" s="3">
        <v>352964908</v>
      </c>
      <c r="C39" s="4">
        <v>44692</v>
      </c>
      <c r="D39" s="3" t="s">
        <v>72</v>
      </c>
      <c r="E39" s="3" t="s">
        <v>122</v>
      </c>
      <c r="F39" s="3" t="str">
        <f>D39&amp;"@empresa.com"</f>
        <v>exec_37@empresa.com</v>
      </c>
      <c r="G39" s="3" t="s">
        <v>144</v>
      </c>
      <c r="H39" s="3" t="str">
        <f>"super_"&amp;RIGHT(G39,1)&amp;"@empresa.com"</f>
        <v>super_7@empresa.com</v>
      </c>
      <c r="I39" s="3" t="s">
        <v>147</v>
      </c>
      <c r="J39" s="3" t="str">
        <f>"coord_"&amp;RIGHT(I39,1)&amp;"@empresa.com"</f>
        <v>coord_3@empresa.com</v>
      </c>
      <c r="K39" s="3" t="s">
        <v>150</v>
      </c>
      <c r="L39" s="3" t="str">
        <f t="shared" si="0"/>
        <v>ger_2@empresa.com</v>
      </c>
      <c r="M39" s="3" t="s">
        <v>151</v>
      </c>
      <c r="N39" s="3" t="s">
        <v>185</v>
      </c>
      <c r="O39" s="3" t="s">
        <v>15</v>
      </c>
      <c r="P39" s="3" t="s">
        <v>198</v>
      </c>
      <c r="Q39" s="13">
        <v>1</v>
      </c>
      <c r="R39" s="13">
        <v>-461</v>
      </c>
      <c r="S39" s="14">
        <v>44692</v>
      </c>
      <c r="T39" s="13" t="s">
        <v>202</v>
      </c>
      <c r="U39" s="13">
        <v>5712</v>
      </c>
      <c r="V39" s="15" t="s">
        <v>21</v>
      </c>
      <c r="W39" s="13" t="s">
        <v>248</v>
      </c>
    </row>
    <row r="40" spans="1:23" x14ac:dyDescent="0.2">
      <c r="A40" s="12" t="s">
        <v>214</v>
      </c>
      <c r="B40" s="3">
        <v>566441449</v>
      </c>
      <c r="C40" s="4">
        <v>44545</v>
      </c>
      <c r="D40" s="3" t="s">
        <v>76</v>
      </c>
      <c r="E40" s="3" t="s">
        <v>126</v>
      </c>
      <c r="F40" s="3" t="str">
        <f>D40&amp;"@empresa.com"</f>
        <v>exec_41@empresa.com</v>
      </c>
      <c r="G40" s="3" t="s">
        <v>141</v>
      </c>
      <c r="H40" s="3" t="str">
        <f>"super_"&amp;RIGHT(G40,1)&amp;"@empresa.com"</f>
        <v>super_8@empresa.com</v>
      </c>
      <c r="I40" s="3" t="s">
        <v>147</v>
      </c>
      <c r="J40" s="3" t="str">
        <f>"coord_"&amp;RIGHT(I40,1)&amp;"@empresa.com"</f>
        <v>coord_3@empresa.com</v>
      </c>
      <c r="K40" s="3" t="s">
        <v>150</v>
      </c>
      <c r="L40" s="3" t="str">
        <f t="shared" si="0"/>
        <v>ger_2@empresa.com</v>
      </c>
      <c r="M40" s="3" t="s">
        <v>151</v>
      </c>
      <c r="N40" s="3" t="s">
        <v>186</v>
      </c>
      <c r="O40" s="3" t="s">
        <v>15</v>
      </c>
      <c r="P40" s="3" t="s">
        <v>199</v>
      </c>
      <c r="Q40" s="13">
        <v>1</v>
      </c>
      <c r="R40" s="13">
        <v>-537</v>
      </c>
      <c r="S40" s="14">
        <v>44545</v>
      </c>
      <c r="T40" s="13" t="s">
        <v>202</v>
      </c>
      <c r="U40" s="13">
        <v>7230</v>
      </c>
      <c r="V40" s="15" t="s">
        <v>21</v>
      </c>
      <c r="W40" s="13" t="s">
        <v>255</v>
      </c>
    </row>
    <row r="41" spans="1:23" x14ac:dyDescent="0.2">
      <c r="A41" s="12" t="s">
        <v>220</v>
      </c>
      <c r="B41" s="3">
        <v>655547971</v>
      </c>
      <c r="C41" s="4">
        <v>44652</v>
      </c>
      <c r="D41" s="3" t="s">
        <v>78</v>
      </c>
      <c r="E41" s="3" t="s">
        <v>128</v>
      </c>
      <c r="F41" s="3" t="str">
        <f>D41&amp;"@empresa.com"</f>
        <v>exec_43@empresa.com</v>
      </c>
      <c r="G41" s="3" t="s">
        <v>141</v>
      </c>
      <c r="H41" s="3" t="str">
        <f>"super_"&amp;RIGHT(G41,1)&amp;"@empresa.com"</f>
        <v>super_8@empresa.com</v>
      </c>
      <c r="I41" s="3" t="s">
        <v>147</v>
      </c>
      <c r="J41" s="3" t="str">
        <f>"coord_"&amp;RIGHT(I41,1)&amp;"@empresa.com"</f>
        <v>coord_3@empresa.com</v>
      </c>
      <c r="K41" s="3" t="s">
        <v>150</v>
      </c>
      <c r="L41" s="3" t="str">
        <f t="shared" si="0"/>
        <v>ger_2@empresa.com</v>
      </c>
      <c r="M41" s="3" t="s">
        <v>151</v>
      </c>
      <c r="N41" s="3" t="s">
        <v>187</v>
      </c>
      <c r="O41" s="3" t="s">
        <v>15</v>
      </c>
      <c r="P41" s="12" t="s">
        <v>197</v>
      </c>
      <c r="Q41" s="13">
        <v>1</v>
      </c>
      <c r="R41" s="13">
        <v>-646</v>
      </c>
      <c r="S41" s="14">
        <v>44652</v>
      </c>
      <c r="T41" s="13" t="s">
        <v>202</v>
      </c>
      <c r="U41" s="13">
        <v>5211</v>
      </c>
      <c r="V41" s="15" t="s">
        <v>17</v>
      </c>
      <c r="W41" s="13" t="s">
        <v>262</v>
      </c>
    </row>
    <row r="42" spans="1:23" x14ac:dyDescent="0.2">
      <c r="A42" s="12" t="s">
        <v>206</v>
      </c>
      <c r="B42" s="3">
        <v>938697640</v>
      </c>
      <c r="C42" s="4">
        <v>44669</v>
      </c>
      <c r="D42" s="3" t="s">
        <v>79</v>
      </c>
      <c r="E42" s="3" t="s">
        <v>129</v>
      </c>
      <c r="F42" s="3" t="str">
        <f>D42&amp;"@empresa.com"</f>
        <v>exec_44@empresa.com</v>
      </c>
      <c r="G42" s="3" t="s">
        <v>144</v>
      </c>
      <c r="H42" s="3" t="str">
        <f>"super_"&amp;RIGHT(G42,1)&amp;"@empresa.com"</f>
        <v>super_7@empresa.com</v>
      </c>
      <c r="I42" s="3" t="s">
        <v>147</v>
      </c>
      <c r="J42" s="3" t="str">
        <f>"coord_"&amp;RIGHT(I42,1)&amp;"@empresa.com"</f>
        <v>coord_3@empresa.com</v>
      </c>
      <c r="K42" s="3" t="s">
        <v>150</v>
      </c>
      <c r="L42" s="3" t="str">
        <f t="shared" si="0"/>
        <v>ger_2@empresa.com</v>
      </c>
      <c r="M42" s="3" t="s">
        <v>151</v>
      </c>
      <c r="N42" s="3" t="s">
        <v>188</v>
      </c>
      <c r="O42" s="3" t="s">
        <v>15</v>
      </c>
      <c r="P42" s="3" t="s">
        <v>198</v>
      </c>
      <c r="Q42" s="13">
        <v>1</v>
      </c>
      <c r="R42" s="13">
        <v>-919</v>
      </c>
      <c r="S42" s="14">
        <v>44669</v>
      </c>
      <c r="T42" s="13" t="s">
        <v>202</v>
      </c>
      <c r="U42" s="13">
        <v>5812</v>
      </c>
      <c r="V42" s="15" t="s">
        <v>16</v>
      </c>
      <c r="W42" s="13" t="s">
        <v>263</v>
      </c>
    </row>
    <row r="43" spans="1:23" x14ac:dyDescent="0.2">
      <c r="A43" s="12" t="s">
        <v>204</v>
      </c>
      <c r="B43" s="3">
        <v>343566103</v>
      </c>
      <c r="C43" s="4">
        <v>44540</v>
      </c>
      <c r="D43" s="3" t="s">
        <v>37</v>
      </c>
      <c r="E43" s="3" t="s">
        <v>87</v>
      </c>
      <c r="F43" s="3" t="str">
        <f>D43&amp;"@empresa.com"</f>
        <v>exec_2@empresa.com</v>
      </c>
      <c r="G43" s="3" t="s">
        <v>140</v>
      </c>
      <c r="H43" s="3" t="str">
        <f>"super_"&amp;RIGHT(G43,1)&amp;"@empresa.com"</f>
        <v>super_5@empresa.com</v>
      </c>
      <c r="I43" s="3" t="s">
        <v>146</v>
      </c>
      <c r="J43" s="3" t="str">
        <f>"coord_"&amp;RIGHT(I43,1)&amp;"@empresa.com"</f>
        <v>coord_4@empresa.com</v>
      </c>
      <c r="K43" s="3" t="s">
        <v>150</v>
      </c>
      <c r="L43" s="3" t="str">
        <f t="shared" si="0"/>
        <v>ger_2@empresa.com</v>
      </c>
      <c r="M43" s="3" t="s">
        <v>151</v>
      </c>
      <c r="N43" s="3" t="s">
        <v>165</v>
      </c>
      <c r="O43" s="3" t="s">
        <v>15</v>
      </c>
      <c r="P43" s="3" t="s">
        <v>199</v>
      </c>
      <c r="Q43" s="13">
        <v>1</v>
      </c>
      <c r="R43" s="13">
        <v>-557</v>
      </c>
      <c r="S43" s="14">
        <v>44540</v>
      </c>
      <c r="T43" s="13" t="s">
        <v>202</v>
      </c>
      <c r="U43" s="13">
        <v>5813</v>
      </c>
      <c r="V43" s="15" t="s">
        <v>17</v>
      </c>
      <c r="W43" s="13" t="s">
        <v>264</v>
      </c>
    </row>
    <row r="44" spans="1:23" x14ac:dyDescent="0.2">
      <c r="A44" s="12" t="s">
        <v>210</v>
      </c>
      <c r="B44" s="3">
        <v>940852479</v>
      </c>
      <c r="C44" s="4">
        <v>44652</v>
      </c>
      <c r="D44" s="3" t="s">
        <v>40</v>
      </c>
      <c r="E44" s="3" t="s">
        <v>90</v>
      </c>
      <c r="F44" s="3" t="str">
        <f>D44&amp;"@empresa.com"</f>
        <v>exec_5@empresa.com</v>
      </c>
      <c r="G44" s="3" t="s">
        <v>138</v>
      </c>
      <c r="H44" s="3" t="str">
        <f>"super_"&amp;RIGHT(G44,1)&amp;"@empresa.com"</f>
        <v>super_3@empresa.com</v>
      </c>
      <c r="I44" s="3" t="s">
        <v>146</v>
      </c>
      <c r="J44" s="3" t="str">
        <f>"coord_"&amp;RIGHT(I44,1)&amp;"@empresa.com"</f>
        <v>coord_4@empresa.com</v>
      </c>
      <c r="K44" s="3" t="s">
        <v>150</v>
      </c>
      <c r="L44" s="3" t="str">
        <f t="shared" si="0"/>
        <v>ger_2@empresa.com</v>
      </c>
      <c r="M44" s="3" t="s">
        <v>151</v>
      </c>
      <c r="N44" s="3" t="s">
        <v>189</v>
      </c>
      <c r="O44" s="3" t="s">
        <v>15</v>
      </c>
      <c r="P44" s="12" t="s">
        <v>197</v>
      </c>
      <c r="Q44" s="13">
        <v>1</v>
      </c>
      <c r="R44" s="13">
        <v>-913</v>
      </c>
      <c r="S44" s="14">
        <v>44652</v>
      </c>
      <c r="T44" s="13" t="s">
        <v>202</v>
      </c>
      <c r="U44" s="13">
        <v>5999</v>
      </c>
      <c r="V44" s="15" t="s">
        <v>19</v>
      </c>
      <c r="W44" s="13" t="s">
        <v>248</v>
      </c>
    </row>
    <row r="45" spans="1:23" x14ac:dyDescent="0.2">
      <c r="A45" s="12" t="s">
        <v>226</v>
      </c>
      <c r="B45" s="3">
        <v>864213679</v>
      </c>
      <c r="C45" s="4">
        <v>44692</v>
      </c>
      <c r="D45" s="3" t="s">
        <v>47</v>
      </c>
      <c r="E45" s="3" t="s">
        <v>97</v>
      </c>
      <c r="F45" s="3" t="str">
        <f>D45&amp;"@empresa.com"</f>
        <v>exec_12@empresa.com</v>
      </c>
      <c r="G45" s="3" t="s">
        <v>138</v>
      </c>
      <c r="H45" s="3" t="str">
        <f>"super_"&amp;RIGHT(G45,1)&amp;"@empresa.com"</f>
        <v>super_3@empresa.com</v>
      </c>
      <c r="I45" s="3" t="s">
        <v>146</v>
      </c>
      <c r="J45" s="3" t="str">
        <f>"coord_"&amp;RIGHT(I45,1)&amp;"@empresa.com"</f>
        <v>coord_4@empresa.com</v>
      </c>
      <c r="K45" s="3" t="s">
        <v>150</v>
      </c>
      <c r="L45" s="3" t="str">
        <f t="shared" si="0"/>
        <v>ger_2@empresa.com</v>
      </c>
      <c r="M45" s="3" t="s">
        <v>151</v>
      </c>
      <c r="N45" s="3" t="s">
        <v>190</v>
      </c>
      <c r="O45" s="3" t="s">
        <v>15</v>
      </c>
      <c r="P45" s="3" t="s">
        <v>198</v>
      </c>
      <c r="Q45" s="13">
        <v>1</v>
      </c>
      <c r="R45" s="13">
        <v>-707</v>
      </c>
      <c r="S45" s="14">
        <v>44692</v>
      </c>
      <c r="T45" s="13" t="s">
        <v>202</v>
      </c>
      <c r="U45" s="13">
        <v>5993</v>
      </c>
      <c r="V45" s="15" t="s">
        <v>22</v>
      </c>
      <c r="W45" s="13" t="s">
        <v>232</v>
      </c>
    </row>
    <row r="46" spans="1:23" x14ac:dyDescent="0.2">
      <c r="A46" s="12" t="s">
        <v>227</v>
      </c>
      <c r="B46" s="3">
        <v>806120843</v>
      </c>
      <c r="C46" s="4">
        <v>44533</v>
      </c>
      <c r="D46" s="3" t="s">
        <v>51</v>
      </c>
      <c r="E46" s="3" t="s">
        <v>101</v>
      </c>
      <c r="F46" s="3" t="str">
        <f>D46&amp;"@empresa.com"</f>
        <v>exec_16@empresa.com</v>
      </c>
      <c r="G46" s="3" t="s">
        <v>140</v>
      </c>
      <c r="H46" s="3" t="str">
        <f>"super_"&amp;RIGHT(G46,1)&amp;"@empresa.com"</f>
        <v>super_5@empresa.com</v>
      </c>
      <c r="I46" s="3" t="s">
        <v>146</v>
      </c>
      <c r="J46" s="3" t="str">
        <f>"coord_"&amp;RIGHT(I46,1)&amp;"@empresa.com"</f>
        <v>coord_4@empresa.com</v>
      </c>
      <c r="K46" s="3" t="s">
        <v>150</v>
      </c>
      <c r="L46" s="3" t="str">
        <f t="shared" si="0"/>
        <v>ger_2@empresa.com</v>
      </c>
      <c r="M46" s="3" t="s">
        <v>151</v>
      </c>
      <c r="N46" s="3" t="s">
        <v>191</v>
      </c>
      <c r="O46" s="3" t="s">
        <v>15</v>
      </c>
      <c r="P46" s="3" t="s">
        <v>199</v>
      </c>
      <c r="Q46" s="13">
        <v>1</v>
      </c>
      <c r="R46" s="13">
        <v>-219</v>
      </c>
      <c r="S46" s="14">
        <v>44533</v>
      </c>
      <c r="T46" s="13" t="s">
        <v>202</v>
      </c>
      <c r="U46" s="13">
        <v>7995</v>
      </c>
      <c r="V46" s="15" t="s">
        <v>21</v>
      </c>
      <c r="W46" s="13" t="s">
        <v>265</v>
      </c>
    </row>
    <row r="47" spans="1:23" x14ac:dyDescent="0.2">
      <c r="A47" s="12" t="s">
        <v>208</v>
      </c>
      <c r="B47" s="3">
        <v>315333769</v>
      </c>
      <c r="C47" s="4">
        <v>44684</v>
      </c>
      <c r="D47" s="3" t="s">
        <v>56</v>
      </c>
      <c r="E47" s="3" t="s">
        <v>106</v>
      </c>
      <c r="F47" s="3" t="str">
        <f>D47&amp;"@empresa.com"</f>
        <v>exec_21@empresa.com</v>
      </c>
      <c r="G47" s="3" t="s">
        <v>138</v>
      </c>
      <c r="H47" s="3" t="str">
        <f>"super_"&amp;RIGHT(G47,1)&amp;"@empresa.com"</f>
        <v>super_3@empresa.com</v>
      </c>
      <c r="I47" s="3" t="s">
        <v>146</v>
      </c>
      <c r="J47" s="3" t="str">
        <f>"coord_"&amp;RIGHT(I47,1)&amp;"@empresa.com"</f>
        <v>coord_4@empresa.com</v>
      </c>
      <c r="K47" s="3" t="s">
        <v>150</v>
      </c>
      <c r="L47" s="3" t="str">
        <f t="shared" si="0"/>
        <v>ger_2@empresa.com</v>
      </c>
      <c r="M47" s="3" t="s">
        <v>151</v>
      </c>
      <c r="N47" s="3" t="s">
        <v>192</v>
      </c>
      <c r="O47" s="3" t="s">
        <v>15</v>
      </c>
      <c r="P47" s="12" t="s">
        <v>197</v>
      </c>
      <c r="Q47" s="13">
        <v>1</v>
      </c>
      <c r="R47" s="13">
        <v>-244</v>
      </c>
      <c r="S47" s="14">
        <v>44684</v>
      </c>
      <c r="T47" s="13" t="s">
        <v>202</v>
      </c>
      <c r="U47" s="13">
        <v>7393</v>
      </c>
      <c r="V47" s="15" t="s">
        <v>21</v>
      </c>
      <c r="W47" s="13" t="s">
        <v>266</v>
      </c>
    </row>
    <row r="48" spans="1:23" x14ac:dyDescent="0.2">
      <c r="A48" s="12" t="s">
        <v>228</v>
      </c>
      <c r="B48" s="3">
        <v>736651524</v>
      </c>
      <c r="C48" s="4">
        <v>44684</v>
      </c>
      <c r="D48" s="3" t="s">
        <v>57</v>
      </c>
      <c r="E48" s="3" t="s">
        <v>107</v>
      </c>
      <c r="F48" s="3" t="str">
        <f>D48&amp;"@empresa.com"</f>
        <v>exec_22@empresa.com</v>
      </c>
      <c r="G48" s="3" t="s">
        <v>140</v>
      </c>
      <c r="H48" s="3" t="str">
        <f>"super_"&amp;RIGHT(G48,1)&amp;"@empresa.com"</f>
        <v>super_5@empresa.com</v>
      </c>
      <c r="I48" s="3" t="s">
        <v>146</v>
      </c>
      <c r="J48" s="3" t="str">
        <f>"coord_"&amp;RIGHT(I48,1)&amp;"@empresa.com"</f>
        <v>coord_4@empresa.com</v>
      </c>
      <c r="K48" s="3" t="s">
        <v>150</v>
      </c>
      <c r="L48" s="3" t="str">
        <f t="shared" si="0"/>
        <v>ger_2@empresa.com</v>
      </c>
      <c r="M48" s="3" t="s">
        <v>151</v>
      </c>
      <c r="N48" s="3" t="s">
        <v>193</v>
      </c>
      <c r="O48" s="3" t="s">
        <v>15</v>
      </c>
      <c r="P48" s="3" t="s">
        <v>198</v>
      </c>
      <c r="Q48" s="13">
        <v>1</v>
      </c>
      <c r="R48" s="13">
        <v>-669</v>
      </c>
      <c r="S48" s="14">
        <v>44706</v>
      </c>
      <c r="T48" s="13" t="s">
        <v>202</v>
      </c>
      <c r="U48" s="13">
        <v>7298</v>
      </c>
      <c r="V48" s="15" t="s">
        <v>21</v>
      </c>
      <c r="W48" s="13" t="s">
        <v>267</v>
      </c>
    </row>
    <row r="49" spans="1:23" x14ac:dyDescent="0.2">
      <c r="A49" s="12" t="s">
        <v>220</v>
      </c>
      <c r="B49" s="3">
        <v>518110417</v>
      </c>
      <c r="C49" s="4">
        <v>44685</v>
      </c>
      <c r="D49" s="3" t="s">
        <v>58</v>
      </c>
      <c r="E49" s="3" t="s">
        <v>108</v>
      </c>
      <c r="F49" s="3" t="str">
        <f>D49&amp;"@empresa.com"</f>
        <v>exec_23@empresa.com</v>
      </c>
      <c r="G49" s="3" t="s">
        <v>140</v>
      </c>
      <c r="H49" s="3" t="str">
        <f>"super_"&amp;RIGHT(G49,1)&amp;"@empresa.com"</f>
        <v>super_5@empresa.com</v>
      </c>
      <c r="I49" s="3" t="s">
        <v>146</v>
      </c>
      <c r="J49" s="3" t="str">
        <f>"coord_"&amp;RIGHT(I49,1)&amp;"@empresa.com"</f>
        <v>coord_4@empresa.com</v>
      </c>
      <c r="K49" s="3" t="s">
        <v>150</v>
      </c>
      <c r="L49" s="3" t="str">
        <f t="shared" si="0"/>
        <v>ger_2@empresa.com</v>
      </c>
      <c r="M49" s="3" t="s">
        <v>151</v>
      </c>
      <c r="N49" s="3" t="s">
        <v>194</v>
      </c>
      <c r="O49" s="3" t="s">
        <v>15</v>
      </c>
      <c r="P49" s="3" t="s">
        <v>199</v>
      </c>
      <c r="Q49" s="13">
        <v>1</v>
      </c>
      <c r="R49" s="13">
        <v>-182</v>
      </c>
      <c r="S49" s="14">
        <v>44685</v>
      </c>
      <c r="T49" s="13" t="s">
        <v>202</v>
      </c>
      <c r="U49" s="13">
        <v>5814</v>
      </c>
      <c r="V49" s="15" t="s">
        <v>21</v>
      </c>
      <c r="W49" s="13" t="s">
        <v>268</v>
      </c>
    </row>
    <row r="50" spans="1:23" x14ac:dyDescent="0.2">
      <c r="A50" s="12" t="s">
        <v>210</v>
      </c>
      <c r="B50" s="3">
        <v>665524777</v>
      </c>
      <c r="C50" s="4">
        <v>44701</v>
      </c>
      <c r="D50" s="3" t="s">
        <v>74</v>
      </c>
      <c r="E50" s="3" t="s">
        <v>124</v>
      </c>
      <c r="F50" s="3" t="str">
        <f>D50&amp;"@empresa.com"</f>
        <v>exec_39@empresa.com</v>
      </c>
      <c r="G50" s="3" t="s">
        <v>138</v>
      </c>
      <c r="H50" s="3" t="str">
        <f>"super_"&amp;RIGHT(G50,1)&amp;"@empresa.com"</f>
        <v>super_3@empresa.com</v>
      </c>
      <c r="I50" s="3" t="s">
        <v>146</v>
      </c>
      <c r="J50" s="3" t="str">
        <f>"coord_"&amp;RIGHT(I50,1)&amp;"@empresa.com"</f>
        <v>coord_4@empresa.com</v>
      </c>
      <c r="K50" s="3" t="s">
        <v>150</v>
      </c>
      <c r="L50" s="3" t="str">
        <f t="shared" si="0"/>
        <v>ger_2@empresa.com</v>
      </c>
      <c r="M50" s="3" t="s">
        <v>151</v>
      </c>
      <c r="N50" s="3" t="s">
        <v>195</v>
      </c>
      <c r="O50" s="3" t="s">
        <v>15</v>
      </c>
      <c r="P50" s="12" t="s">
        <v>197</v>
      </c>
      <c r="Q50" s="13">
        <v>1</v>
      </c>
      <c r="R50" s="13">
        <v>-108</v>
      </c>
      <c r="S50" s="14">
        <v>44701</v>
      </c>
      <c r="T50" s="13" t="s">
        <v>202</v>
      </c>
      <c r="U50" s="13">
        <v>7230</v>
      </c>
      <c r="V50" s="15" t="s">
        <v>21</v>
      </c>
      <c r="W50" s="13" t="s">
        <v>269</v>
      </c>
    </row>
    <row r="51" spans="1:23" x14ac:dyDescent="0.2">
      <c r="A51" s="12" t="s">
        <v>228</v>
      </c>
      <c r="B51" s="3">
        <v>828413147</v>
      </c>
      <c r="C51" s="4">
        <v>44616</v>
      </c>
      <c r="D51" s="3" t="s">
        <v>85</v>
      </c>
      <c r="E51" s="3" t="s">
        <v>135</v>
      </c>
      <c r="F51" s="3" t="str">
        <f>D51&amp;"@empresa.com"</f>
        <v>exec_50@empresa.com</v>
      </c>
      <c r="G51" s="3" t="s">
        <v>138</v>
      </c>
      <c r="H51" s="3" t="str">
        <f>"super_"&amp;RIGHT(G51,1)&amp;"@empresa.com"</f>
        <v>super_3@empresa.com</v>
      </c>
      <c r="I51" s="3" t="s">
        <v>146</v>
      </c>
      <c r="J51" s="3" t="str">
        <f>"coord_"&amp;RIGHT(I51,1)&amp;"@empresa.com"</f>
        <v>coord_4@empresa.com</v>
      </c>
      <c r="K51" s="3" t="s">
        <v>150</v>
      </c>
      <c r="L51" s="3" t="str">
        <f t="shared" si="0"/>
        <v>ger_2@empresa.com</v>
      </c>
      <c r="M51" s="3" t="s">
        <v>151</v>
      </c>
      <c r="N51" s="3" t="s">
        <v>196</v>
      </c>
      <c r="O51" s="3" t="s">
        <v>15</v>
      </c>
      <c r="P51" s="3" t="s">
        <v>198</v>
      </c>
      <c r="Q51" s="13">
        <v>1</v>
      </c>
      <c r="R51" s="13">
        <v>-998</v>
      </c>
      <c r="S51" s="14">
        <v>44616</v>
      </c>
      <c r="T51" s="13" t="s">
        <v>202</v>
      </c>
      <c r="U51" s="13">
        <v>5812</v>
      </c>
      <c r="V51" s="15" t="s">
        <v>17</v>
      </c>
      <c r="W51" s="13" t="s">
        <v>270</v>
      </c>
    </row>
  </sheetData>
  <autoFilter ref="A1:W51" xr:uid="{018B4997-517E-4EC6-B2AA-3656B0131385}">
    <sortState xmlns:xlrd2="http://schemas.microsoft.com/office/spreadsheetml/2017/richdata2" ref="A2:W51">
      <sortCondition ref="I1:I51"/>
    </sortState>
  </autoFilter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2">
                <anchor moveWithCells="1" sizeWithCells="1">
                  <from>
                    <xdr:col>24</xdr:col>
                    <xdr:colOff>238125</xdr:colOff>
                    <xdr:row>0</xdr:row>
                    <xdr:rowOff>142875</xdr:rowOff>
                  </from>
                  <to>
                    <xdr:col>26</xdr:col>
                    <xdr:colOff>390525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D47A8-9193-47C0-B972-36622B825F7B}">
  <sheetPr codeName="Planilha5"/>
  <dimension ref="A1:F51"/>
  <sheetViews>
    <sheetView workbookViewId="0">
      <selection activeCell="C12" sqref="C12"/>
    </sheetView>
  </sheetViews>
  <sheetFormatPr defaultRowHeight="15" x14ac:dyDescent="0.25"/>
  <cols>
    <col min="1" max="1" width="26.7109375" bestFit="1" customWidth="1"/>
    <col min="2" max="2" width="22.140625" bestFit="1" customWidth="1"/>
    <col min="3" max="3" width="23.42578125" bestFit="1" customWidth="1"/>
    <col min="4" max="4" width="20.5703125" bestFit="1" customWidth="1"/>
    <col min="5" max="5" width="12.85546875" bestFit="1" customWidth="1"/>
    <col min="6" max="6" width="22.140625" bestFit="1" customWidth="1"/>
  </cols>
  <sheetData>
    <row r="1" spans="1:6" s="6" customFormat="1" x14ac:dyDescent="0.25">
      <c r="A1" s="7" t="s">
        <v>6</v>
      </c>
      <c r="B1" s="7" t="s">
        <v>25</v>
      </c>
      <c r="C1" s="7" t="s">
        <v>7</v>
      </c>
      <c r="D1" s="7" t="s">
        <v>30</v>
      </c>
      <c r="E1" s="7" t="s">
        <v>29</v>
      </c>
      <c r="F1" s="7" t="s">
        <v>24</v>
      </c>
    </row>
    <row r="2" spans="1:6" s="6" customFormat="1" x14ac:dyDescent="0.25">
      <c r="A2" s="3" t="s">
        <v>149</v>
      </c>
      <c r="B2" s="3" t="s">
        <v>271</v>
      </c>
      <c r="C2" s="3" t="s">
        <v>151</v>
      </c>
      <c r="D2" s="5" t="s">
        <v>273</v>
      </c>
      <c r="E2" s="3">
        <v>753795936</v>
      </c>
      <c r="F2" s="5" t="s">
        <v>229</v>
      </c>
    </row>
    <row r="3" spans="1:6" s="6" customFormat="1" x14ac:dyDescent="0.25">
      <c r="A3" s="3" t="s">
        <v>149</v>
      </c>
      <c r="B3" s="3" t="s">
        <v>271</v>
      </c>
      <c r="C3" s="3" t="s">
        <v>151</v>
      </c>
      <c r="D3" s="5" t="s">
        <v>273</v>
      </c>
      <c r="E3" s="3">
        <v>274970765</v>
      </c>
      <c r="F3" s="5" t="s">
        <v>230</v>
      </c>
    </row>
    <row r="4" spans="1:6" s="6" customFormat="1" x14ac:dyDescent="0.25">
      <c r="A4" s="3" t="s">
        <v>149</v>
      </c>
      <c r="B4" s="3" t="s">
        <v>271</v>
      </c>
      <c r="C4" s="3" t="s">
        <v>151</v>
      </c>
      <c r="D4" s="5" t="s">
        <v>273</v>
      </c>
      <c r="E4" s="3">
        <v>599146244</v>
      </c>
      <c r="F4" s="5" t="s">
        <v>231</v>
      </c>
    </row>
    <row r="5" spans="1:6" s="6" customFormat="1" x14ac:dyDescent="0.25">
      <c r="A5" s="3" t="s">
        <v>149</v>
      </c>
      <c r="B5" s="3" t="s">
        <v>271</v>
      </c>
      <c r="C5" s="3" t="s">
        <v>151</v>
      </c>
      <c r="D5" s="5" t="s">
        <v>273</v>
      </c>
      <c r="E5" s="3">
        <v>515569022</v>
      </c>
      <c r="F5" s="5" t="s">
        <v>232</v>
      </c>
    </row>
    <row r="6" spans="1:6" s="6" customFormat="1" x14ac:dyDescent="0.25">
      <c r="A6" s="3" t="s">
        <v>149</v>
      </c>
      <c r="B6" s="3" t="s">
        <v>271</v>
      </c>
      <c r="C6" s="3" t="s">
        <v>151</v>
      </c>
      <c r="D6" s="5" t="s">
        <v>273</v>
      </c>
      <c r="E6" s="3">
        <v>682324755</v>
      </c>
      <c r="F6" s="5" t="s">
        <v>233</v>
      </c>
    </row>
    <row r="7" spans="1:6" s="6" customFormat="1" x14ac:dyDescent="0.25">
      <c r="A7" s="3" t="s">
        <v>149</v>
      </c>
      <c r="B7" s="3" t="s">
        <v>271</v>
      </c>
      <c r="C7" s="3" t="s">
        <v>151</v>
      </c>
      <c r="D7" s="5" t="s">
        <v>273</v>
      </c>
      <c r="E7" s="3">
        <v>259451695</v>
      </c>
      <c r="F7" s="5" t="s">
        <v>234</v>
      </c>
    </row>
    <row r="8" spans="1:6" s="6" customFormat="1" x14ac:dyDescent="0.25">
      <c r="A8" s="3" t="s">
        <v>149</v>
      </c>
      <c r="B8" s="3" t="s">
        <v>271</v>
      </c>
      <c r="C8" s="3" t="s">
        <v>151</v>
      </c>
      <c r="D8" s="5" t="s">
        <v>273</v>
      </c>
      <c r="E8" s="3">
        <v>426591400</v>
      </c>
      <c r="F8" s="5" t="s">
        <v>230</v>
      </c>
    </row>
    <row r="9" spans="1:6" s="6" customFormat="1" x14ac:dyDescent="0.25">
      <c r="A9" s="3" t="s">
        <v>149</v>
      </c>
      <c r="B9" s="3" t="s">
        <v>271</v>
      </c>
      <c r="C9" s="3" t="s">
        <v>151</v>
      </c>
      <c r="D9" s="5" t="s">
        <v>273</v>
      </c>
      <c r="E9" s="3">
        <v>474563184</v>
      </c>
      <c r="F9" s="5" t="s">
        <v>235</v>
      </c>
    </row>
    <row r="10" spans="1:6" s="6" customFormat="1" x14ac:dyDescent="0.25">
      <c r="A10" s="3" t="s">
        <v>149</v>
      </c>
      <c r="B10" s="3" t="s">
        <v>271</v>
      </c>
      <c r="C10" s="3" t="s">
        <v>151</v>
      </c>
      <c r="D10" s="5" t="s">
        <v>273</v>
      </c>
      <c r="E10" s="3">
        <v>281451931</v>
      </c>
      <c r="F10" s="5" t="s">
        <v>236</v>
      </c>
    </row>
    <row r="11" spans="1:6" s="6" customFormat="1" x14ac:dyDescent="0.25">
      <c r="A11" s="3" t="s">
        <v>149</v>
      </c>
      <c r="B11" s="3" t="s">
        <v>271</v>
      </c>
      <c r="C11" s="3" t="s">
        <v>151</v>
      </c>
      <c r="D11" s="5" t="s">
        <v>273</v>
      </c>
      <c r="E11" s="3">
        <v>380677416</v>
      </c>
      <c r="F11" s="5" t="s">
        <v>237</v>
      </c>
    </row>
    <row r="12" spans="1:6" s="6" customFormat="1" x14ac:dyDescent="0.25">
      <c r="A12" s="3" t="s">
        <v>149</v>
      </c>
      <c r="B12" s="3" t="s">
        <v>271</v>
      </c>
      <c r="C12" s="3" t="s">
        <v>151</v>
      </c>
      <c r="D12" s="5" t="s">
        <v>273</v>
      </c>
      <c r="E12" s="3">
        <v>355124495</v>
      </c>
      <c r="F12" s="5" t="s">
        <v>238</v>
      </c>
    </row>
    <row r="13" spans="1:6" s="6" customFormat="1" x14ac:dyDescent="0.25">
      <c r="A13" s="3" t="s">
        <v>149</v>
      </c>
      <c r="B13" s="3" t="s">
        <v>271</v>
      </c>
      <c r="C13" s="3" t="s">
        <v>151</v>
      </c>
      <c r="D13" s="5" t="s">
        <v>273</v>
      </c>
      <c r="E13" s="3">
        <v>215733304</v>
      </c>
      <c r="F13" s="5" t="s">
        <v>239</v>
      </c>
    </row>
    <row r="14" spans="1:6" s="6" customFormat="1" x14ac:dyDescent="0.25">
      <c r="A14" s="3" t="s">
        <v>149</v>
      </c>
      <c r="B14" s="3" t="s">
        <v>271</v>
      </c>
      <c r="C14" s="3" t="s">
        <v>151</v>
      </c>
      <c r="D14" s="5" t="s">
        <v>273</v>
      </c>
      <c r="E14" s="3">
        <v>757993578</v>
      </c>
      <c r="F14" s="5" t="s">
        <v>240</v>
      </c>
    </row>
    <row r="15" spans="1:6" s="6" customFormat="1" x14ac:dyDescent="0.25">
      <c r="A15" s="3" t="s">
        <v>149</v>
      </c>
      <c r="B15" s="3" t="s">
        <v>271</v>
      </c>
      <c r="C15" s="3" t="s">
        <v>151</v>
      </c>
      <c r="D15" s="5" t="s">
        <v>273</v>
      </c>
      <c r="E15" s="3">
        <v>436979460</v>
      </c>
      <c r="F15" s="5" t="s">
        <v>241</v>
      </c>
    </row>
    <row r="16" spans="1:6" s="6" customFormat="1" x14ac:dyDescent="0.25">
      <c r="A16" s="3" t="s">
        <v>149</v>
      </c>
      <c r="B16" s="3" t="s">
        <v>271</v>
      </c>
      <c r="C16" s="3" t="s">
        <v>151</v>
      </c>
      <c r="D16" s="5" t="s">
        <v>273</v>
      </c>
      <c r="E16" s="3">
        <v>432783089</v>
      </c>
      <c r="F16" s="5" t="s">
        <v>242</v>
      </c>
    </row>
    <row r="17" spans="1:6" s="6" customFormat="1" x14ac:dyDescent="0.25">
      <c r="A17" s="3" t="s">
        <v>149</v>
      </c>
      <c r="B17" s="3" t="s">
        <v>271</v>
      </c>
      <c r="C17" s="3" t="s">
        <v>151</v>
      </c>
      <c r="D17" s="5" t="s">
        <v>273</v>
      </c>
      <c r="E17" s="3">
        <v>265567439</v>
      </c>
      <c r="F17" s="5" t="s">
        <v>243</v>
      </c>
    </row>
    <row r="18" spans="1:6" s="6" customFormat="1" x14ac:dyDescent="0.25">
      <c r="A18" s="3" t="s">
        <v>149</v>
      </c>
      <c r="B18" s="3" t="s">
        <v>271</v>
      </c>
      <c r="C18" s="3" t="s">
        <v>151</v>
      </c>
      <c r="D18" s="5" t="s">
        <v>273</v>
      </c>
      <c r="E18" s="3">
        <v>217444291</v>
      </c>
      <c r="F18" s="5" t="s">
        <v>244</v>
      </c>
    </row>
    <row r="19" spans="1:6" s="6" customFormat="1" x14ac:dyDescent="0.25">
      <c r="A19" s="3" t="s">
        <v>149</v>
      </c>
      <c r="B19" s="3" t="s">
        <v>271</v>
      </c>
      <c r="C19" s="3" t="s">
        <v>151</v>
      </c>
      <c r="D19" s="5" t="s">
        <v>273</v>
      </c>
      <c r="E19" s="3">
        <v>257487921</v>
      </c>
      <c r="F19" s="5" t="s">
        <v>245</v>
      </c>
    </row>
    <row r="20" spans="1:6" s="6" customFormat="1" x14ac:dyDescent="0.25">
      <c r="A20" s="3" t="s">
        <v>149</v>
      </c>
      <c r="B20" s="3" t="s">
        <v>271</v>
      </c>
      <c r="C20" s="3" t="s">
        <v>151</v>
      </c>
      <c r="D20" s="5" t="s">
        <v>273</v>
      </c>
      <c r="E20" s="3">
        <v>449279182</v>
      </c>
      <c r="F20" s="5" t="s">
        <v>246</v>
      </c>
    </row>
    <row r="21" spans="1:6" s="6" customFormat="1" x14ac:dyDescent="0.25">
      <c r="A21" s="3" t="s">
        <v>149</v>
      </c>
      <c r="B21" s="3" t="s">
        <v>271</v>
      </c>
      <c r="C21" s="3" t="s">
        <v>151</v>
      </c>
      <c r="D21" s="5" t="s">
        <v>273</v>
      </c>
      <c r="E21" s="3">
        <v>302082143</v>
      </c>
      <c r="F21" s="5" t="s">
        <v>247</v>
      </c>
    </row>
    <row r="22" spans="1:6" s="6" customFormat="1" x14ac:dyDescent="0.25">
      <c r="A22" s="3" t="s">
        <v>149</v>
      </c>
      <c r="B22" s="3" t="s">
        <v>271</v>
      </c>
      <c r="C22" s="3" t="s">
        <v>151</v>
      </c>
      <c r="D22" s="5" t="s">
        <v>273</v>
      </c>
      <c r="E22" s="3">
        <v>599107732</v>
      </c>
      <c r="F22" s="5" t="s">
        <v>248</v>
      </c>
    </row>
    <row r="23" spans="1:6" s="6" customFormat="1" x14ac:dyDescent="0.25">
      <c r="A23" s="3" t="s">
        <v>149</v>
      </c>
      <c r="B23" s="3" t="s">
        <v>271</v>
      </c>
      <c r="C23" s="3" t="s">
        <v>151</v>
      </c>
      <c r="D23" s="5" t="s">
        <v>273</v>
      </c>
      <c r="E23" s="3">
        <v>813268540</v>
      </c>
      <c r="F23" s="5" t="s">
        <v>242</v>
      </c>
    </row>
    <row r="24" spans="1:6" s="6" customFormat="1" x14ac:dyDescent="0.25">
      <c r="A24" s="3" t="s">
        <v>149</v>
      </c>
      <c r="B24" s="3" t="s">
        <v>271</v>
      </c>
      <c r="C24" s="3" t="s">
        <v>151</v>
      </c>
      <c r="D24" s="5" t="s">
        <v>273</v>
      </c>
      <c r="E24" s="3">
        <v>290972731</v>
      </c>
      <c r="F24" s="5" t="s">
        <v>234</v>
      </c>
    </row>
    <row r="25" spans="1:6" s="6" customFormat="1" x14ac:dyDescent="0.25">
      <c r="A25" s="3" t="s">
        <v>149</v>
      </c>
      <c r="B25" s="3" t="s">
        <v>271</v>
      </c>
      <c r="C25" s="3" t="s">
        <v>151</v>
      </c>
      <c r="D25" s="5" t="s">
        <v>273</v>
      </c>
      <c r="E25" s="3">
        <v>489531638</v>
      </c>
      <c r="F25" s="5" t="s">
        <v>249</v>
      </c>
    </row>
    <row r="26" spans="1:6" s="6" customFormat="1" x14ac:dyDescent="0.25">
      <c r="A26" s="3" t="s">
        <v>149</v>
      </c>
      <c r="B26" s="3" t="s">
        <v>271</v>
      </c>
      <c r="C26" s="3" t="s">
        <v>151</v>
      </c>
      <c r="D26" s="5" t="s">
        <v>273</v>
      </c>
      <c r="E26" s="3">
        <v>853826611</v>
      </c>
      <c r="F26" s="5" t="s">
        <v>239</v>
      </c>
    </row>
    <row r="27" spans="1:6" s="6" customFormat="1" x14ac:dyDescent="0.25">
      <c r="A27" s="3" t="s">
        <v>149</v>
      </c>
      <c r="B27" s="3" t="s">
        <v>271</v>
      </c>
      <c r="C27" s="3" t="s">
        <v>151</v>
      </c>
      <c r="D27" s="5" t="s">
        <v>273</v>
      </c>
      <c r="E27" s="3">
        <v>548971968</v>
      </c>
      <c r="F27" s="5" t="s">
        <v>250</v>
      </c>
    </row>
    <row r="28" spans="1:6" s="6" customFormat="1" x14ac:dyDescent="0.25">
      <c r="A28" s="3" t="s">
        <v>149</v>
      </c>
      <c r="B28" s="3" t="s">
        <v>271</v>
      </c>
      <c r="C28" s="3" t="s">
        <v>151</v>
      </c>
      <c r="D28" s="5" t="s">
        <v>273</v>
      </c>
      <c r="E28" s="3">
        <v>452798945</v>
      </c>
      <c r="F28" s="5" t="s">
        <v>251</v>
      </c>
    </row>
    <row r="29" spans="1:6" s="6" customFormat="1" x14ac:dyDescent="0.25">
      <c r="A29" s="3" t="s">
        <v>149</v>
      </c>
      <c r="B29" s="3" t="s">
        <v>271</v>
      </c>
      <c r="C29" s="3" t="s">
        <v>151</v>
      </c>
      <c r="D29" s="5" t="s">
        <v>273</v>
      </c>
      <c r="E29" s="3">
        <v>137233777</v>
      </c>
      <c r="F29" s="5" t="s">
        <v>252</v>
      </c>
    </row>
    <row r="30" spans="1:6" s="6" customFormat="1" x14ac:dyDescent="0.25">
      <c r="A30" s="3" t="s">
        <v>149</v>
      </c>
      <c r="B30" s="3" t="s">
        <v>271</v>
      </c>
      <c r="C30" s="3" t="s">
        <v>151</v>
      </c>
      <c r="D30" s="5" t="s">
        <v>273</v>
      </c>
      <c r="E30" s="3">
        <v>927143972</v>
      </c>
      <c r="F30" s="5" t="s">
        <v>253</v>
      </c>
    </row>
    <row r="31" spans="1:6" s="6" customFormat="1" x14ac:dyDescent="0.25">
      <c r="A31" s="3" t="s">
        <v>149</v>
      </c>
      <c r="B31" s="3" t="s">
        <v>271</v>
      </c>
      <c r="C31" s="3" t="s">
        <v>151</v>
      </c>
      <c r="D31" s="5" t="s">
        <v>273</v>
      </c>
      <c r="E31" s="3">
        <v>304564227</v>
      </c>
      <c r="F31" s="5" t="s">
        <v>254</v>
      </c>
    </row>
    <row r="32" spans="1:6" s="6" customFormat="1" x14ac:dyDescent="0.25">
      <c r="A32" s="3" t="s">
        <v>149</v>
      </c>
      <c r="B32" s="3" t="s">
        <v>271</v>
      </c>
      <c r="C32" s="3" t="s">
        <v>151</v>
      </c>
      <c r="D32" s="5" t="s">
        <v>273</v>
      </c>
      <c r="E32" s="3">
        <v>401299083</v>
      </c>
      <c r="F32" s="5" t="s">
        <v>255</v>
      </c>
    </row>
    <row r="33" spans="1:6" s="6" customFormat="1" x14ac:dyDescent="0.25">
      <c r="A33" s="3" t="s">
        <v>150</v>
      </c>
      <c r="B33" s="3" t="s">
        <v>272</v>
      </c>
      <c r="C33" s="3" t="s">
        <v>151</v>
      </c>
      <c r="D33" s="5" t="s">
        <v>273</v>
      </c>
      <c r="E33" s="3">
        <v>641645971</v>
      </c>
      <c r="F33" s="5" t="s">
        <v>256</v>
      </c>
    </row>
    <row r="34" spans="1:6" s="6" customFormat="1" x14ac:dyDescent="0.25">
      <c r="A34" s="3" t="s">
        <v>150</v>
      </c>
      <c r="B34" s="3" t="s">
        <v>272</v>
      </c>
      <c r="C34" s="3" t="s">
        <v>151</v>
      </c>
      <c r="D34" s="5" t="s">
        <v>273</v>
      </c>
      <c r="E34" s="3">
        <v>459368666</v>
      </c>
      <c r="F34" s="5" t="s">
        <v>257</v>
      </c>
    </row>
    <row r="35" spans="1:6" s="6" customFormat="1" x14ac:dyDescent="0.25">
      <c r="A35" s="3" t="s">
        <v>150</v>
      </c>
      <c r="B35" s="3" t="s">
        <v>272</v>
      </c>
      <c r="C35" s="3" t="s">
        <v>151</v>
      </c>
      <c r="D35" s="5" t="s">
        <v>273</v>
      </c>
      <c r="E35" s="3">
        <v>944591117</v>
      </c>
      <c r="F35" s="5" t="s">
        <v>258</v>
      </c>
    </row>
    <row r="36" spans="1:6" s="6" customFormat="1" x14ac:dyDescent="0.25">
      <c r="A36" s="3" t="s">
        <v>150</v>
      </c>
      <c r="B36" s="3" t="s">
        <v>272</v>
      </c>
      <c r="C36" s="3" t="s">
        <v>151</v>
      </c>
      <c r="D36" s="5" t="s">
        <v>273</v>
      </c>
      <c r="E36" s="3">
        <v>762213296</v>
      </c>
      <c r="F36" s="5" t="s">
        <v>259</v>
      </c>
    </row>
    <row r="37" spans="1:6" s="6" customFormat="1" x14ac:dyDescent="0.25">
      <c r="A37" s="3" t="s">
        <v>150</v>
      </c>
      <c r="B37" s="3" t="s">
        <v>272</v>
      </c>
      <c r="C37" s="3" t="s">
        <v>151</v>
      </c>
      <c r="D37" s="5" t="s">
        <v>273</v>
      </c>
      <c r="E37" s="3">
        <v>644793507</v>
      </c>
      <c r="F37" s="5" t="s">
        <v>260</v>
      </c>
    </row>
    <row r="38" spans="1:6" s="6" customFormat="1" x14ac:dyDescent="0.25">
      <c r="A38" s="3" t="s">
        <v>150</v>
      </c>
      <c r="B38" s="3" t="s">
        <v>272</v>
      </c>
      <c r="C38" s="3" t="s">
        <v>151</v>
      </c>
      <c r="D38" s="5" t="s">
        <v>273</v>
      </c>
      <c r="E38" s="3">
        <v>311130734</v>
      </c>
      <c r="F38" s="5" t="s">
        <v>261</v>
      </c>
    </row>
    <row r="39" spans="1:6" s="6" customFormat="1" x14ac:dyDescent="0.25">
      <c r="A39" s="3" t="s">
        <v>150</v>
      </c>
      <c r="B39" s="3" t="s">
        <v>272</v>
      </c>
      <c r="C39" s="3" t="s">
        <v>151</v>
      </c>
      <c r="D39" s="5" t="s">
        <v>273</v>
      </c>
      <c r="E39" s="3">
        <v>352964908</v>
      </c>
      <c r="F39" s="5" t="s">
        <v>248</v>
      </c>
    </row>
    <row r="40" spans="1:6" s="6" customFormat="1" x14ac:dyDescent="0.25">
      <c r="A40" s="3" t="s">
        <v>150</v>
      </c>
      <c r="B40" s="3" t="s">
        <v>272</v>
      </c>
      <c r="C40" s="3" t="s">
        <v>151</v>
      </c>
      <c r="D40" s="5" t="s">
        <v>273</v>
      </c>
      <c r="E40" s="3">
        <v>566441449</v>
      </c>
      <c r="F40" s="5" t="s">
        <v>255</v>
      </c>
    </row>
    <row r="41" spans="1:6" s="6" customFormat="1" x14ac:dyDescent="0.25">
      <c r="A41" s="3" t="s">
        <v>150</v>
      </c>
      <c r="B41" s="3" t="s">
        <v>272</v>
      </c>
      <c r="C41" s="3" t="s">
        <v>151</v>
      </c>
      <c r="D41" s="5" t="s">
        <v>273</v>
      </c>
      <c r="E41" s="3">
        <v>655547971</v>
      </c>
      <c r="F41" s="5" t="s">
        <v>262</v>
      </c>
    </row>
    <row r="42" spans="1:6" s="6" customFormat="1" x14ac:dyDescent="0.25">
      <c r="A42" s="3" t="s">
        <v>150</v>
      </c>
      <c r="B42" s="3" t="s">
        <v>272</v>
      </c>
      <c r="C42" s="3" t="s">
        <v>151</v>
      </c>
      <c r="D42" s="5" t="s">
        <v>273</v>
      </c>
      <c r="E42" s="3">
        <v>938697640</v>
      </c>
      <c r="F42" s="5" t="s">
        <v>263</v>
      </c>
    </row>
    <row r="43" spans="1:6" s="6" customFormat="1" x14ac:dyDescent="0.25">
      <c r="A43" s="3" t="s">
        <v>150</v>
      </c>
      <c r="B43" s="3" t="s">
        <v>272</v>
      </c>
      <c r="C43" s="3" t="s">
        <v>151</v>
      </c>
      <c r="D43" s="5" t="s">
        <v>273</v>
      </c>
      <c r="E43" s="3">
        <v>343566103</v>
      </c>
      <c r="F43" s="5" t="s">
        <v>264</v>
      </c>
    </row>
    <row r="44" spans="1:6" s="6" customFormat="1" x14ac:dyDescent="0.25">
      <c r="A44" s="3" t="s">
        <v>150</v>
      </c>
      <c r="B44" s="3" t="s">
        <v>272</v>
      </c>
      <c r="C44" s="3" t="s">
        <v>151</v>
      </c>
      <c r="D44" s="5" t="s">
        <v>273</v>
      </c>
      <c r="E44" s="3">
        <v>940852479</v>
      </c>
      <c r="F44" s="5" t="s">
        <v>248</v>
      </c>
    </row>
    <row r="45" spans="1:6" s="6" customFormat="1" x14ac:dyDescent="0.25">
      <c r="A45" s="3" t="s">
        <v>150</v>
      </c>
      <c r="B45" s="3" t="s">
        <v>272</v>
      </c>
      <c r="C45" s="3" t="s">
        <v>151</v>
      </c>
      <c r="D45" s="5" t="s">
        <v>273</v>
      </c>
      <c r="E45" s="3">
        <v>864213679</v>
      </c>
      <c r="F45" s="5" t="s">
        <v>232</v>
      </c>
    </row>
    <row r="46" spans="1:6" s="6" customFormat="1" x14ac:dyDescent="0.25">
      <c r="A46" s="3" t="s">
        <v>150</v>
      </c>
      <c r="B46" s="3" t="s">
        <v>272</v>
      </c>
      <c r="C46" s="3" t="s">
        <v>151</v>
      </c>
      <c r="D46" s="5" t="s">
        <v>273</v>
      </c>
      <c r="E46" s="3">
        <v>806120843</v>
      </c>
      <c r="F46" s="5" t="s">
        <v>265</v>
      </c>
    </row>
    <row r="47" spans="1:6" s="6" customFormat="1" x14ac:dyDescent="0.25">
      <c r="A47" s="3" t="s">
        <v>150</v>
      </c>
      <c r="B47" s="3" t="s">
        <v>272</v>
      </c>
      <c r="C47" s="3" t="s">
        <v>151</v>
      </c>
      <c r="D47" s="5" t="s">
        <v>273</v>
      </c>
      <c r="E47" s="3">
        <v>315333769</v>
      </c>
      <c r="F47" s="5" t="s">
        <v>266</v>
      </c>
    </row>
    <row r="48" spans="1:6" s="6" customFormat="1" x14ac:dyDescent="0.25">
      <c r="A48" s="3" t="s">
        <v>150</v>
      </c>
      <c r="B48" s="3" t="s">
        <v>272</v>
      </c>
      <c r="C48" s="3" t="s">
        <v>151</v>
      </c>
      <c r="D48" s="5" t="s">
        <v>273</v>
      </c>
      <c r="E48" s="3">
        <v>736651524</v>
      </c>
      <c r="F48" s="5" t="s">
        <v>267</v>
      </c>
    </row>
    <row r="49" spans="1:6" s="6" customFormat="1" x14ac:dyDescent="0.25">
      <c r="A49" s="3" t="s">
        <v>150</v>
      </c>
      <c r="B49" s="3" t="s">
        <v>272</v>
      </c>
      <c r="C49" s="3" t="s">
        <v>151</v>
      </c>
      <c r="D49" s="5" t="s">
        <v>273</v>
      </c>
      <c r="E49" s="3">
        <v>518110417</v>
      </c>
      <c r="F49" s="5" t="s">
        <v>268</v>
      </c>
    </row>
    <row r="50" spans="1:6" s="6" customFormat="1" x14ac:dyDescent="0.25">
      <c r="A50" s="3" t="s">
        <v>150</v>
      </c>
      <c r="B50" s="3" t="s">
        <v>272</v>
      </c>
      <c r="C50" s="3" t="s">
        <v>151</v>
      </c>
      <c r="D50" s="5" t="s">
        <v>273</v>
      </c>
      <c r="E50" s="3">
        <v>665524777</v>
      </c>
      <c r="F50" s="5" t="s">
        <v>269</v>
      </c>
    </row>
    <row r="51" spans="1:6" s="6" customFormat="1" x14ac:dyDescent="0.25">
      <c r="A51" s="3" t="s">
        <v>150</v>
      </c>
      <c r="B51" s="3" t="s">
        <v>272</v>
      </c>
      <c r="C51" s="3" t="s">
        <v>151</v>
      </c>
      <c r="D51" s="5" t="s">
        <v>273</v>
      </c>
      <c r="E51" s="3">
        <v>828413147</v>
      </c>
      <c r="F51" s="5" t="s">
        <v>270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3DA6D-1297-4576-A8B6-A7DA7687298A}">
  <sheetPr codeName="Planilha6"/>
  <dimension ref="A1:D3"/>
  <sheetViews>
    <sheetView workbookViewId="0">
      <selection activeCell="C14" sqref="C14"/>
    </sheetView>
  </sheetViews>
  <sheetFormatPr defaultRowHeight="15" x14ac:dyDescent="0.25"/>
  <cols>
    <col min="1" max="1" width="26.7109375" bestFit="1" customWidth="1"/>
    <col min="2" max="2" width="22.140625" bestFit="1" customWidth="1"/>
    <col min="3" max="3" width="23.42578125" bestFit="1" customWidth="1"/>
    <col min="4" max="4" width="20.5703125" bestFit="1" customWidth="1"/>
  </cols>
  <sheetData>
    <row r="1" spans="1:4" x14ac:dyDescent="0.25">
      <c r="A1" s="8" t="s">
        <v>6</v>
      </c>
      <c r="B1" s="8" t="s">
        <v>25</v>
      </c>
      <c r="C1" s="8" t="s">
        <v>7</v>
      </c>
      <c r="D1" s="8" t="s">
        <v>30</v>
      </c>
    </row>
    <row r="2" spans="1:4" x14ac:dyDescent="0.25">
      <c r="A2" s="18" t="s">
        <v>149</v>
      </c>
      <c r="B2" s="18" t="s">
        <v>271</v>
      </c>
      <c r="C2" s="18" t="s">
        <v>151</v>
      </c>
      <c r="D2" s="9" t="s">
        <v>273</v>
      </c>
    </row>
    <row r="3" spans="1:4" x14ac:dyDescent="0.25">
      <c r="A3" s="3" t="s">
        <v>150</v>
      </c>
      <c r="B3" s="3" t="s">
        <v>272</v>
      </c>
      <c r="C3" s="3" t="s">
        <v>151</v>
      </c>
      <c r="D3" s="5" t="s">
        <v>273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1503-6C8F-4E4C-B5CE-522E9E87F6D9}">
  <sheetPr codeName="Planilha7"/>
  <dimension ref="A1:B6"/>
  <sheetViews>
    <sheetView workbookViewId="0">
      <selection activeCell="F16" sqref="F16"/>
    </sheetView>
  </sheetViews>
  <sheetFormatPr defaultColWidth="10.85546875" defaultRowHeight="15" x14ac:dyDescent="0.25"/>
  <cols>
    <col min="2" max="2" width="21.42578125" bestFit="1" customWidth="1"/>
  </cols>
  <sheetData>
    <row r="1" spans="1:2" x14ac:dyDescent="0.25">
      <c r="A1" s="8" t="s">
        <v>29</v>
      </c>
      <c r="B1" s="8" t="s">
        <v>24</v>
      </c>
    </row>
    <row r="2" spans="1:2" x14ac:dyDescent="0.25">
      <c r="A2" s="9"/>
      <c r="B2" s="9"/>
    </row>
    <row r="3" spans="1:2" x14ac:dyDescent="0.25">
      <c r="A3" s="5"/>
      <c r="B3" s="5"/>
    </row>
    <row r="4" spans="1:2" x14ac:dyDescent="0.25">
      <c r="A4" s="9"/>
      <c r="B4" s="9"/>
    </row>
    <row r="5" spans="1:2" x14ac:dyDescent="0.25">
      <c r="A5" s="5"/>
      <c r="B5" s="5"/>
    </row>
    <row r="6" spans="1:2" x14ac:dyDescent="0.25">
      <c r="A6" s="9"/>
      <c r="B6" s="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E12836-3FBF-4CCB-99FE-CB87D1750F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Apoio</vt:lpstr>
      <vt:lpstr>Enviar E-mail para EXEC</vt:lpstr>
      <vt:lpstr>Enviar Email para GR</vt:lpstr>
      <vt:lpstr>GR</vt:lpstr>
      <vt:lpstr>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 Amaral</dc:creator>
  <cp:lastModifiedBy>Sabrina Amaral</cp:lastModifiedBy>
  <dcterms:created xsi:type="dcterms:W3CDTF">2022-07-28T20:38:29Z</dcterms:created>
  <dcterms:modified xsi:type="dcterms:W3CDTF">2023-07-21T17:24:23Z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86c2b39-4223-4d15-bcb9-787ea17e6435_Enabled">
    <vt:lpwstr>true</vt:lpwstr>
  </property>
  <property fmtid="{D5CDD505-2E9C-101B-9397-08002B2CF9AE}" pid="3" name="MSIP_Label_086c2b39-4223-4d15-bcb9-787ea17e6435_SetDate">
    <vt:lpwstr>2022-07-28T20:38:30Z</vt:lpwstr>
  </property>
  <property fmtid="{D5CDD505-2E9C-101B-9397-08002B2CF9AE}" pid="4" name="MSIP_Label_086c2b39-4223-4d15-bcb9-787ea17e6435_Method">
    <vt:lpwstr>Standard</vt:lpwstr>
  </property>
  <property fmtid="{D5CDD505-2E9C-101B-9397-08002B2CF9AE}" pid="5" name="MSIP_Label_086c2b39-4223-4d15-bcb9-787ea17e6435_Name">
    <vt:lpwstr>086c2b39-4223-4d15-bcb9-787ea17e6435</vt:lpwstr>
  </property>
  <property fmtid="{D5CDD505-2E9C-101B-9397-08002B2CF9AE}" pid="6" name="MSIP_Label_086c2b39-4223-4d15-bcb9-787ea17e6435_SiteId">
    <vt:lpwstr>7575b092-fc5f-4f6c-b7a5-9e9ef7aca80d</vt:lpwstr>
  </property>
  <property fmtid="{D5CDD505-2E9C-101B-9397-08002B2CF9AE}" pid="7" name="MSIP_Label_086c2b39-4223-4d15-bcb9-787ea17e6435_ActionId">
    <vt:lpwstr>21cb3f85-c8ce-4a54-bc0a-886ae4de1031</vt:lpwstr>
  </property>
  <property fmtid="{D5CDD505-2E9C-101B-9397-08002B2CF9AE}" pid="8" name="MSIP_Label_086c2b39-4223-4d15-bcb9-787ea17e6435_ContentBits">
    <vt:lpwstr>0</vt:lpwstr>
  </property>
</Properties>
</file>